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log" sheetId="1" state="visible" r:id="rId3"/>
    <sheet name="Summary" sheetId="2" state="visible" r:id="rId4"/>
    <sheet name="Legend" sheetId="3" state="visible" r:id="rId5"/>
  </sheets>
  <definedNames>
    <definedName function="false" hidden="true" localSheetId="0" name="_xlnm._FilterDatabase" vbProcedure="false">Backlog!$A$1:$K$32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<sst xmlns="http://schemas.openxmlformats.org/spreadsheetml/2006/main" count="377" uniqueCount="185">
  <si>
    <t xml:space="preserve">ID</t>
  </si>
  <si>
    <t xml:space="preserve">Epic</t>
  </si>
  <si>
    <t xml:space="preserve">Item / Title</t>
  </si>
  <si>
    <t xml:space="preserve">Type</t>
  </si>
  <si>
    <t xml:space="preserve">User Story</t>
  </si>
  <si>
    <t xml:space="preserve">Acceptance Criteria</t>
  </si>
  <si>
    <t xml:space="preserve">Priority</t>
  </si>
  <si>
    <t xml:space="preserve">Phase</t>
  </si>
  <si>
    <t xml:space="preserve">Estimate</t>
  </si>
  <si>
    <t xml:space="preserve">Status</t>
  </si>
  <si>
    <t xml:space="preserve">Maps To</t>
  </si>
  <si>
    <t xml:space="preserve">E0-1</t>
  </si>
  <si>
    <t xml:space="preserve">E0 Foundations</t>
  </si>
  <si>
    <t xml:space="preserve">User roles &amp; extended profile</t>
  </si>
  <si>
    <t xml:space="preserve">Story</t>
  </si>
  <si>
    <t xml:space="preserve">As a user, I want the app to know whether I'm an adopter, owner, or vet, so it shows me the right features.</t>
  </si>
  <si>
    <t xml:space="preserve">users doc has role field (adopter|vet|admin) + phone/city/bio; role defaults to adopter on sign-up.</t>
  </si>
  <si>
    <t xml:space="preserve">Must</t>
  </si>
  <si>
    <t xml:space="preserve">M</t>
  </si>
  <si>
    <t xml:space="preserve">Done</t>
  </si>
  <si>
    <t xml:space="preserve">Cross-cutting</t>
  </si>
  <si>
    <t xml:space="preserve">E0-2</t>
  </si>
  <si>
    <t xml:space="preserve">Firestore data model &amp; security rules</t>
  </si>
  <si>
    <t xml:space="preserve">As the team, we want a documented schema and locked-down rules so data is consistent and safe.</t>
  </si>
  <si>
    <t xml:space="preserve">Collections for animals, products, orders, vets, appointments, chats, favorites; rules deployed; indexes created.</t>
  </si>
  <si>
    <t xml:space="preserve">Backend</t>
  </si>
  <si>
    <t xml:space="preserve">E0-3</t>
  </si>
  <si>
    <t xml:space="preserve">Reusable UI &amp; error/loading states</t>
  </si>
  <si>
    <t xml:space="preserve">As a developer, I want shared widgets so screens look consistent and handle empty/error/loading.</t>
  </si>
  <si>
    <t xml:space="preserve">Shared AppScaffold, list skeletons, empty-state and error-retry widgets; extended theme colors.</t>
  </si>
  <si>
    <t xml:space="preserve">S</t>
  </si>
  <si>
    <t xml:space="preserve">E0-4</t>
  </si>
  <si>
    <t xml:space="preserve">Image upload service</t>
  </si>
  <si>
    <t xml:space="preserve">As a user, I want to attach photos (animals, chat) stored in Firebase Storage.</t>
  </si>
  <si>
    <t xml:space="preserve">StorageService wraps image_picker + firebase_storage, returns URL; compression, progress, failure handled.</t>
  </si>
  <si>
    <t xml:space="preserve">In progress</t>
  </si>
  <si>
    <t xml:space="preserve">E0-5</t>
  </si>
  <si>
    <t xml:space="preserve">Fix hardcoded Home greeting</t>
  </si>
  <si>
    <t xml:space="preserve">As a logged-in user, I want Home to greet me by my real name, not the hardcoded 'Hiba'.</t>
  </si>
  <si>
    <t xml:space="preserve">Home reads current user's name from Firestore via a use case.</t>
  </si>
  <si>
    <t xml:space="preserve">Home</t>
  </si>
  <si>
    <t xml:space="preserve">E1-1</t>
  </si>
  <si>
    <t xml:space="preserve">E1 Adoption</t>
  </si>
  <si>
    <t xml:space="preserve">Browse adoptable animals</t>
  </si>
  <si>
    <t xml:space="preserve">As an adopter, I want to browse a feed of animals available for adoption so I can find one.</t>
  </si>
  <si>
    <t xml:space="preserve">Grid/list of animal cards; pull-to-refresh; pagination; empty state; status==available.</t>
  </si>
  <si>
    <t xml:space="preserve">Home/Adopt</t>
  </si>
  <si>
    <t xml:space="preserve">E1-2</t>
  </si>
  <si>
    <t xml:space="preserve">Filter &amp; search animals</t>
  </si>
  <si>
    <t xml:space="preserve">As an adopter, I want to filter by species, breed, age, size and city so I see relevant matches.</t>
  </si>
  <si>
    <t xml:space="preserve">Filter chips + search field; results update live; no-results state; Firestore indexes.</t>
  </si>
  <si>
    <t xml:space="preserve">Should</t>
  </si>
  <si>
    <t xml:space="preserve">E1-3</t>
  </si>
  <si>
    <t xml:space="preserve">Animal detail screen</t>
  </si>
  <si>
    <t xml:space="preserve">As an adopter, I want a detailed page with photos and full info so I can decide.</t>
  </si>
  <si>
    <t xml:space="preserve">Image carousel, description, health/vaccination notes, owner info, Request-adoption CTA, favorite toggle.</t>
  </si>
  <si>
    <t xml:space="preserve">E1-4</t>
  </si>
  <si>
    <t xml:space="preserve">Request to adopt</t>
  </si>
  <si>
    <t xml:space="preserve">As an adopter, I want to send an adoption request to the animal's owner so we can proceed.</t>
  </si>
  <si>
    <t xml:space="preserve">Creates adoption_requests doc (pending); owner notified; duplicate requests prevented.</t>
  </si>
  <si>
    <t xml:space="preserve">E1-5</t>
  </si>
  <si>
    <t xml:space="preserve">List my animal for adoption</t>
  </si>
  <si>
    <t xml:space="preserve">As a pet owner, I want to post an animal I can no longer keep so others can adopt it.</t>
  </si>
  <si>
    <t xml:space="preserve">Multi-step form (photos, species, breed, age, gender, description, location) -&gt; animals status=available.</t>
  </si>
  <si>
    <t xml:space="preserve">E1-6</t>
  </si>
  <si>
    <t xml:space="preserve">Manage my listings &amp; requests</t>
  </si>
  <si>
    <t xml:space="preserve">As a pet owner, I want to see my posted animals and incoming requests so I can accept/decline.</t>
  </si>
  <si>
    <t xml:space="preserve">My Listings + request counts; accept sets adopted &amp; notifies; decline updates; edit/delete listing.</t>
  </si>
  <si>
    <t xml:space="preserve">E1-7</t>
  </si>
  <si>
    <t xml:space="preserve">Favorites / saved animals</t>
  </si>
  <si>
    <t xml:space="preserve">As an adopter, I want to save animals I like so I can revisit them.</t>
  </si>
  <si>
    <t xml:space="preserve">Heart toggle persists to users/{uid}/favorites; Saved screen lists them.</t>
  </si>
  <si>
    <t xml:space="preserve">E2-1</t>
  </si>
  <si>
    <t xml:space="preserve">E2 Shop</t>
  </si>
  <si>
    <t xml:space="preserve">Product catalog</t>
  </si>
  <si>
    <t xml:space="preserve">As a shopper, I want to browse products (food, toys, accessories, health) by category.</t>
  </si>
  <si>
    <t xml:space="preserve">Category tabs/grid; product cards (image, name, price, rating); search; pagination.</t>
  </si>
  <si>
    <t xml:space="preserve">Cart</t>
  </si>
  <si>
    <t xml:space="preserve">E2-2</t>
  </si>
  <si>
    <t xml:space="preserve">Product detail</t>
  </si>
  <si>
    <t xml:space="preserve">As a shopper, I want full product info so I can decide to buy.</t>
  </si>
  <si>
    <t xml:space="preserve">Images, description, price, stock, quantity selector, Add-to-cart.</t>
  </si>
  <si>
    <t xml:space="preserve">E2-3</t>
  </si>
  <si>
    <t xml:space="preserve">As a shopper, I want a cart so I can collect items and adjust quantities before checkout.</t>
  </si>
  <si>
    <t xml:space="preserve">Add/remove/update qty; live subtotal; persists per user; badge on Cart tab.</t>
  </si>
  <si>
    <t xml:space="preserve">E2-4</t>
  </si>
  <si>
    <t xml:space="preserve">Checkout &amp; orders</t>
  </si>
  <si>
    <t xml:space="preserve">As a shopper, I want to place an order with a delivery address so my supplies arrive.</t>
  </si>
  <si>
    <t xml:space="preserve">Address form; order summary; place-order -&gt; orders (pending); cart clears; confirmation screen.</t>
  </si>
  <si>
    <t xml:space="preserve">E2-5</t>
  </si>
  <si>
    <t xml:space="preserve">Order history &amp; tracking</t>
  </si>
  <si>
    <t xml:space="preserve">As a shopper, I want to see my past and current orders with status so I can track them.</t>
  </si>
  <si>
    <t xml:space="preserve">My Orders list with status (pending-&gt;shipped-&gt;delivered); order detail.</t>
  </si>
  <si>
    <t xml:space="preserve">E2-6</t>
  </si>
  <si>
    <t xml:space="preserve">Payment integration</t>
  </si>
  <si>
    <t xml:space="preserve">Spike</t>
  </si>
  <si>
    <t xml:space="preserve">As a shopper, I want to pay online for my supplies.</t>
  </si>
  <si>
    <t xml:space="preserve">Depends on payments spike (E4-3); MVP ships cash-on-delivery only.</t>
  </si>
  <si>
    <t xml:space="preserve">Could</t>
  </si>
  <si>
    <t xml:space="preserve">Not started</t>
  </si>
  <si>
    <t xml:space="preserve">E3-1</t>
  </si>
  <si>
    <t xml:space="preserve">E3 Vet</t>
  </si>
  <si>
    <t xml:space="preserve">Vet directory</t>
  </si>
  <si>
    <t xml:space="preserve">As a pet owner, I want to browse available vets with specialties and ratings so I can pick one.</t>
  </si>
  <si>
    <t xml:space="preserve">List of vets (photo, name, specialty, clinic, city, rating); search/filter by specialty &amp; city.</t>
  </si>
  <si>
    <t xml:space="preserve">Chat</t>
  </si>
  <si>
    <t xml:space="preserve">E3-2</t>
  </si>
  <si>
    <t xml:space="preserve">Vet profile</t>
  </si>
  <si>
    <t xml:space="preserve">As a pet owner, I want a vet's detail page so I can choose an action (chat/call/book).</t>
  </si>
  <si>
    <t xml:space="preserve">Bio, specialties, clinic address, hours, three CTAs (Chat, Call, Book appointment).</t>
  </si>
  <si>
    <t xml:space="preserve">E3-3</t>
  </si>
  <si>
    <t xml:space="preserve">1:1 chat with vet</t>
  </si>
  <si>
    <t xml:space="preserve">As a pet owner, I want to text a vet so I can ask about my animal.</t>
  </si>
  <si>
    <t xml:space="preserve">Real-time messages via chats/{id}/messages; text + image; read receipts; uses bubble; chat list.</t>
  </si>
  <si>
    <t xml:space="preserve">L</t>
  </si>
  <si>
    <t xml:space="preserve">E3-4</t>
  </si>
  <si>
    <t xml:space="preserve">Voice / video call with vet</t>
  </si>
  <si>
    <t xml:space="preserve">As a pet owner, I want to call a vet so I can talk directly.</t>
  </si>
  <si>
    <t xml:space="preserve">Phase 1: launch device dialer (tel:) via url_launcher. Phase 2: in-app calling (spike E4-4).</t>
  </si>
  <si>
    <t xml:space="preserve">E3-5</t>
  </si>
  <si>
    <t xml:space="preserve">Book an appointment</t>
  </si>
  <si>
    <t xml:space="preserve">As a pet owner, I want to book an appointment slot with a vet so I get dedicated time.</t>
  </si>
  <si>
    <t xml:space="preserve">Vet availability; pick date/time; appointments doc (requested); double-booking prevented; both notified.</t>
  </si>
  <si>
    <t xml:space="preserve">E3-6</t>
  </si>
  <si>
    <t xml:space="preserve">Manage appointments</t>
  </si>
  <si>
    <t xml:space="preserve">As a pet owner or vet, I want to see, confirm, reschedule or cancel appointments.</t>
  </si>
  <si>
    <t xml:space="preserve">My Appointments list; vet dashboard to confirm/decline/complete; status transitions; cancel frees slot.</t>
  </si>
  <si>
    <t xml:space="preserve">E4-1</t>
  </si>
  <si>
    <t xml:space="preserve">E4 Cross-cutting</t>
  </si>
  <si>
    <t xml:space="preserve">Push notifications</t>
  </si>
  <si>
    <t xml:space="preserve">As a user, I want to be notified of requests, orders, messages and appointment reminders.</t>
  </si>
  <si>
    <t xml:space="preserve">FCM; token storage; Cloud Function triggers for each event.</t>
  </si>
  <si>
    <t xml:space="preserve">E4-2</t>
  </si>
  <si>
    <t xml:space="preserve">Global search &amp; discovery</t>
  </si>
  <si>
    <t xml:space="preserve">As a user, I want unified search across animals, products and vets.</t>
  </si>
  <si>
    <t xml:space="preserve">Single search surface returning mixed results.</t>
  </si>
  <si>
    <t xml:space="preserve">E4-3</t>
  </si>
  <si>
    <t xml:space="preserve">Payments spike + integration</t>
  </si>
  <si>
    <t xml:space="preserve">As the team, we need a payment approach for shop and paid appointments.</t>
  </si>
  <si>
    <t xml:space="preserve">Evaluate Stripe vs local gateways; deliver decision doc + integration story; MVP = cash-on-delivery.</t>
  </si>
  <si>
    <t xml:space="preserve">E4-4</t>
  </si>
  <si>
    <t xml:space="preserve">In-app calling spike</t>
  </si>
  <si>
    <t xml:space="preserve">As the team, we need a calling approach for vet calls (Phase 2).</t>
  </si>
  <si>
    <t xml:space="preserve">Evaluate Agora / Twilio / WebRTC; deliver decision doc.</t>
  </si>
  <si>
    <t xml:space="preserve">E4-5</t>
  </si>
  <si>
    <t xml:space="preserve">Admin / moderation</t>
  </si>
  <si>
    <t xml:space="preserve">As an admin, I want to moderate content and approve vets so the marketplace stays safe.</t>
  </si>
  <si>
    <t xml:space="preserve">Report listings; approve vets; remove content.</t>
  </si>
  <si>
    <t xml:space="preserve">E4-6</t>
  </si>
  <si>
    <t xml:space="preserve">Analytics &amp; crash reporting</t>
  </si>
  <si>
    <t xml:space="preserve">As the team, we want usage analytics and crash reports.</t>
  </si>
  <si>
    <t xml:space="preserve">Firebase Analytics events + Crashlytics.</t>
  </si>
  <si>
    <t xml:space="preserve">E4-7</t>
  </si>
  <si>
    <t xml:space="preserve">Automated tests</t>
  </si>
  <si>
    <t xml:space="preserve">As the team, we want tests so refactors are safe (test/ folder is currently empty).</t>
  </si>
  <si>
    <t xml:space="preserve">Unit tests for use cases/cubits; widget tests for key screens.</t>
  </si>
  <si>
    <t xml:space="preserve">Adopt Animal — Backlog Summary</t>
  </si>
  <si>
    <t xml:space="preserve">Total items</t>
  </si>
  <si>
    <t xml:space="preserve">By Priority</t>
  </si>
  <si>
    <t xml:space="preserve">By Phase</t>
  </si>
  <si>
    <t xml:space="preserve">Count</t>
  </si>
  <si>
    <t xml:space="preserve">1 - MVP adoption</t>
  </si>
  <si>
    <t xml:space="preserve">2 - Shop</t>
  </si>
  <si>
    <t xml:space="preserve">3 - Vet care</t>
  </si>
  <si>
    <t xml:space="preserve">4 - Polish/scale</t>
  </si>
  <si>
    <t xml:space="preserve">By Epic</t>
  </si>
  <si>
    <t xml:space="preserve">By Status (live)</t>
  </si>
  <si>
    <t xml:space="preserve">Blocked</t>
  </si>
  <si>
    <t xml:space="preserve">% Done</t>
  </si>
  <si>
    <t xml:space="preserve">How to use this backlog</t>
  </si>
  <si>
    <t xml:space="preserve">Column</t>
  </si>
  <si>
    <t xml:space="preserve">Meaning</t>
  </si>
  <si>
    <t xml:space="preserve">Epic-story code (E&lt;epic&gt;-&lt;n&gt;). Matches BACKLOG.md.</t>
  </si>
  <si>
    <t xml:space="preserve">E0 Foundations, E1 Adoption, E2 Shop, E3 Vet, E4 Cross-cutting.</t>
  </si>
  <si>
    <t xml:space="preserve">Story = buildable feature; Spike = research/decision task.</t>
  </si>
  <si>
    <t xml:space="preserve">Must / Should / Could (MoSCoW). Editable dropdown; Must=orange, Should=yellow, Could=grey.</t>
  </si>
  <si>
    <t xml:space="preserve">Suggested rollout: 1 MVP adoption, 2 Shop, 3 Vet care, 4 Polish/scale. Editable dropdown.</t>
  </si>
  <si>
    <t xml:space="preserve">Rough size: S (&lt;1 day), M (1-3 days), L (3+ days). Editable dropdown.</t>
  </si>
  <si>
    <t xml:space="preserve">Not started / In progress / Blocked / Done. Editable dropdown; drives the Summary counts.</t>
  </si>
  <si>
    <t xml:space="preserve">Where it lives in the app (Home/Adopt, Cart, Chat, Cross-cutting, Backend).</t>
  </si>
  <si>
    <t xml:space="preserve">Tip</t>
  </si>
  <si>
    <t xml:space="preserve">Use the filter arrows on the Backlog header row to slice by Epic, Priority, Phase or Status.</t>
  </si>
  <si>
    <t xml:space="preserve">Update the Status column and the Summary tab recalculates automatically.</t>
  </si>
  <si>
    <t xml:space="preserve">Note</t>
  </si>
  <si>
    <t xml:space="preserve">Estimates are rough placeholders — re-point with your team before committing to a sprint.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</si>
</sst>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B57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EAF1F7"/>
        <bgColor rgb="FFF2F2F2"/>
      </patternFill>
    </fill>
    <fill>
      <patternFill patternType="solid">
        <fgColor rgb="FFF8CBAD"/>
        <bgColor rgb="FFFFE699"/>
      </patternFill>
    </fill>
    <fill>
      <patternFill patternType="solid">
        <fgColor rgb="FFE7F0E7"/>
        <bgColor rgb="FFEAF1F7"/>
      </patternFill>
    </fill>
    <fill>
      <patternFill patternType="solid">
        <fgColor rgb="FFFFE699"/>
        <bgColor rgb="FFF8CBAD"/>
      </patternFill>
    </fill>
    <fill>
      <patternFill patternType="solid">
        <fgColor rgb="FFFDF2E3"/>
        <bgColor rgb="FFF2F2F2"/>
      </patternFill>
    </fill>
    <fill>
      <patternFill patternType="solid">
        <fgColor rgb="FFD9D9D9"/>
        <bgColor rgb="FFD0D0D0"/>
      </patternFill>
    </fill>
    <fill>
      <patternFill patternType="solid">
        <fgColor rgb="FFEDE7F3"/>
        <bgColor rgb="FFEAF1F7"/>
      </patternFill>
    </fill>
    <fill>
      <patternFill patternType="solid">
        <fgColor rgb="FFF2F2F2"/>
        <bgColor rgb="FFEAF1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B57"/>
          <bgColor rgb="FF000000"/>
        </patternFill>
      </fill>
    </dxf>
    <dxf>
      <fill>
        <patternFill patternType="solid">
          <fgColor rgb="FFE7F0E7"/>
          <bgColor rgb="FF000000"/>
        </patternFill>
      </fill>
    </dxf>
    <dxf>
      <fill>
        <patternFill patternType="solid">
          <fgColor rgb="FFEAF1F7"/>
          <bgColor rgb="FF000000"/>
        </patternFill>
      </fill>
    </dxf>
    <dxf>
      <fill>
        <patternFill patternType="solid">
          <fgColor rgb="FFEDE7F3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DF2E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DF2E3"/>
      <rgbColor rgb="FFEAF1F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7"/>
      <rgbColor rgb="FFF2F2F2"/>
      <rgbColor rgb="FFFFE699"/>
      <rgbColor rgb="FFEDE7F3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7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6" min="5" style="1" width="52"/>
    <col collapsed="false" customWidth="true" hidden="false" outlineLevel="0" max="7" min="7" style="1" width="10"/>
    <col collapsed="false" customWidth="true" hidden="false" outlineLevel="0" max="8" min="8" style="1" width="7"/>
    <col collapsed="false" customWidth="true" hidden="false" outlineLevel="0" max="9" min="9" style="1" width="9"/>
    <col collapsed="false" customWidth="true" hidden="false" outlineLevel="0" max="10" min="10" style="1" width="13"/>
    <col collapsed="false" customWidth="true" hidden="false" outlineLevel="0" max="11" min="11" style="1" width="14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23.25" hidden="false" customHeight="true" outlineLevel="0" collapsed="false">
      <c r="A2" s="3" t="s">
        <v>11</v>
      </c>
      <c r="B2" s="4" t="s">
        <v>12</v>
      </c>
      <c r="C2" s="5" t="s">
        <v>13</v>
      </c>
      <c r="D2" s="6" t="s">
        <v>14</v>
      </c>
      <c r="E2" s="5" t="s">
        <v>15</v>
      </c>
      <c r="F2" s="5" t="s">
        <v>16</v>
      </c>
      <c r="G2" s="7" t="s">
        <v>17</v>
      </c>
      <c r="H2" s="6" t="n">
        <v>1</v>
      </c>
      <c r="I2" s="6" t="s">
        <v>18</v>
      </c>
      <c r="J2" s="6" t="s">
        <v>19</v>
      </c>
      <c r="K2" s="5" t="s">
        <v>20</v>
      </c>
    </row>
    <row r="3" customFormat="false" ht="23.25" hidden="false" customHeight="true" outlineLevel="0" collapsed="false">
      <c r="A3" s="3" t="s">
        <v>21</v>
      </c>
      <c r="B3" s="4" t="s">
        <v>12</v>
      </c>
      <c r="C3" s="5" t="s">
        <v>22</v>
      </c>
      <c r="D3" s="6" t="s">
        <v>14</v>
      </c>
      <c r="E3" s="5" t="s">
        <v>23</v>
      </c>
      <c r="F3" s="5" t="s">
        <v>24</v>
      </c>
      <c r="G3" s="7" t="s">
        <v>17</v>
      </c>
      <c r="H3" s="6" t="n">
        <v>1</v>
      </c>
      <c r="I3" s="6" t="s">
        <v>18</v>
      </c>
      <c r="J3" s="6" t="s">
        <v>19</v>
      </c>
      <c r="K3" s="5" t="s">
        <v>25</v>
      </c>
    </row>
    <row r="4" customFormat="false" ht="23.25" hidden="false" customHeight="true" outlineLevel="0" collapsed="false">
      <c r="A4" s="3" t="s">
        <v>26</v>
      </c>
      <c r="B4" s="4" t="s">
        <v>12</v>
      </c>
      <c r="C4" s="5" t="s">
        <v>27</v>
      </c>
      <c r="D4" s="6" t="s">
        <v>14</v>
      </c>
      <c r="E4" s="5" t="s">
        <v>28</v>
      </c>
      <c r="F4" s="5" t="s">
        <v>29</v>
      </c>
      <c r="G4" s="7" t="s">
        <v>17</v>
      </c>
      <c r="H4" s="6" t="n">
        <v>1</v>
      </c>
      <c r="I4" s="6" t="s">
        <v>30</v>
      </c>
      <c r="J4" s="6" t="s">
        <v>19</v>
      </c>
      <c r="K4" s="5" t="s">
        <v>20</v>
      </c>
    </row>
    <row r="5" customFormat="false" ht="23.25" hidden="false" customHeight="true" outlineLevel="0" collapsed="false">
      <c r="A5" s="3" t="s">
        <v>31</v>
      </c>
      <c r="B5" s="4" t="s">
        <v>12</v>
      </c>
      <c r="C5" s="5" t="s">
        <v>32</v>
      </c>
      <c r="D5" s="6" t="s">
        <v>14</v>
      </c>
      <c r="E5" s="5" t="s">
        <v>33</v>
      </c>
      <c r="F5" s="5" t="s">
        <v>34</v>
      </c>
      <c r="G5" s="7" t="s">
        <v>17</v>
      </c>
      <c r="H5" s="6" t="n">
        <v>1</v>
      </c>
      <c r="I5" s="6" t="s">
        <v>30</v>
      </c>
      <c r="J5" s="6" t="s">
        <v>35</v>
      </c>
      <c r="K5" s="5" t="s">
        <v>20</v>
      </c>
    </row>
    <row r="6" customFormat="false" ht="23.25" hidden="false" customHeight="true" outlineLevel="0" collapsed="false">
      <c r="A6" s="3" t="s">
        <v>36</v>
      </c>
      <c r="B6" s="4" t="s">
        <v>12</v>
      </c>
      <c r="C6" s="5" t="s">
        <v>37</v>
      </c>
      <c r="D6" s="6" t="s">
        <v>14</v>
      </c>
      <c r="E6" s="5" t="s">
        <v>38</v>
      </c>
      <c r="F6" s="5" t="s">
        <v>39</v>
      </c>
      <c r="G6" s="7" t="s">
        <v>17</v>
      </c>
      <c r="H6" s="6" t="n">
        <v>1</v>
      </c>
      <c r="I6" s="6" t="s">
        <v>30</v>
      </c>
      <c r="J6" s="6" t="s">
        <v>19</v>
      </c>
      <c r="K6" s="5" t="s">
        <v>40</v>
      </c>
    </row>
    <row r="7" customFormat="false" ht="23.25" hidden="false" customHeight="true" outlineLevel="0" collapsed="false">
      <c r="A7" s="8" t="s">
        <v>41</v>
      </c>
      <c r="B7" s="9" t="s">
        <v>42</v>
      </c>
      <c r="C7" s="5" t="s">
        <v>43</v>
      </c>
      <c r="D7" s="6" t="s">
        <v>14</v>
      </c>
      <c r="E7" s="5" t="s">
        <v>44</v>
      </c>
      <c r="F7" s="5" t="s">
        <v>45</v>
      </c>
      <c r="G7" s="7" t="s">
        <v>17</v>
      </c>
      <c r="H7" s="6" t="n">
        <v>1</v>
      </c>
      <c r="I7" s="6" t="s">
        <v>18</v>
      </c>
      <c r="J7" s="6" t="s">
        <v>35</v>
      </c>
      <c r="K7" s="5" t="s">
        <v>46</v>
      </c>
    </row>
    <row r="8" customFormat="false" ht="23.25" hidden="false" customHeight="true" outlineLevel="0" collapsed="false">
      <c r="A8" s="8" t="s">
        <v>47</v>
      </c>
      <c r="B8" s="9" t="s">
        <v>42</v>
      </c>
      <c r="C8" s="5" t="s">
        <v>48</v>
      </c>
      <c r="D8" s="6" t="s">
        <v>14</v>
      </c>
      <c r="E8" s="5" t="s">
        <v>49</v>
      </c>
      <c r="F8" s="5" t="s">
        <v>50</v>
      </c>
      <c r="G8" s="10" t="s">
        <v>51</v>
      </c>
      <c r="H8" s="6" t="n">
        <v>4</v>
      </c>
      <c r="I8" s="6" t="s">
        <v>18</v>
      </c>
      <c r="J8" s="6" t="s">
        <v>35</v>
      </c>
      <c r="K8" s="5" t="s">
        <v>46</v>
      </c>
    </row>
    <row r="9" customFormat="false" ht="23.25" hidden="false" customHeight="true" outlineLevel="0" collapsed="false">
      <c r="A9" s="8" t="s">
        <v>52</v>
      </c>
      <c r="B9" s="9" t="s">
        <v>42</v>
      </c>
      <c r="C9" s="5" t="s">
        <v>53</v>
      </c>
      <c r="D9" s="6" t="s">
        <v>14</v>
      </c>
      <c r="E9" s="5" t="s">
        <v>54</v>
      </c>
      <c r="F9" s="5" t="s">
        <v>55</v>
      </c>
      <c r="G9" s="7" t="s">
        <v>17</v>
      </c>
      <c r="H9" s="6" t="n">
        <v>1</v>
      </c>
      <c r="I9" s="6" t="s">
        <v>30</v>
      </c>
      <c r="J9" s="6" t="s">
        <v>35</v>
      </c>
      <c r="K9" s="5" t="s">
        <v>46</v>
      </c>
    </row>
    <row r="10" customFormat="false" ht="23.25" hidden="false" customHeight="true" outlineLevel="0" collapsed="false">
      <c r="A10" s="8" t="s">
        <v>56</v>
      </c>
      <c r="B10" s="9" t="s">
        <v>42</v>
      </c>
      <c r="C10" s="5" t="s">
        <v>57</v>
      </c>
      <c r="D10" s="6" t="s">
        <v>14</v>
      </c>
      <c r="E10" s="5" t="s">
        <v>58</v>
      </c>
      <c r="F10" s="5" t="s">
        <v>59</v>
      </c>
      <c r="G10" s="7" t="s">
        <v>17</v>
      </c>
      <c r="H10" s="6" t="n">
        <v>1</v>
      </c>
      <c r="I10" s="6" t="s">
        <v>18</v>
      </c>
      <c r="J10" s="6" t="s">
        <v>35</v>
      </c>
      <c r="K10" s="5" t="s">
        <v>46</v>
      </c>
    </row>
    <row r="11" customFormat="false" ht="23.25" hidden="false" customHeight="true" outlineLevel="0" collapsed="false">
      <c r="A11" s="8" t="s">
        <v>60</v>
      </c>
      <c r="B11" s="9" t="s">
        <v>42</v>
      </c>
      <c r="C11" s="5" t="s">
        <v>61</v>
      </c>
      <c r="D11" s="6" t="s">
        <v>14</v>
      </c>
      <c r="E11" s="5" t="s">
        <v>62</v>
      </c>
      <c r="F11" s="5" t="s">
        <v>63</v>
      </c>
      <c r="G11" s="7" t="s">
        <v>17</v>
      </c>
      <c r="H11" s="6" t="n">
        <v>1</v>
      </c>
      <c r="I11" s="6" t="s">
        <v>18</v>
      </c>
      <c r="J11" s="6" t="s">
        <v>35</v>
      </c>
      <c r="K11" s="5" t="s">
        <v>46</v>
      </c>
    </row>
    <row r="12" customFormat="false" ht="23.25" hidden="false" customHeight="true" outlineLevel="0" collapsed="false">
      <c r="A12" s="8" t="s">
        <v>64</v>
      </c>
      <c r="B12" s="9" t="s">
        <v>42</v>
      </c>
      <c r="C12" s="5" t="s">
        <v>65</v>
      </c>
      <c r="D12" s="6" t="s">
        <v>14</v>
      </c>
      <c r="E12" s="5" t="s">
        <v>66</v>
      </c>
      <c r="F12" s="5" t="s">
        <v>67</v>
      </c>
      <c r="G12" s="7" t="s">
        <v>17</v>
      </c>
      <c r="H12" s="6" t="n">
        <v>1</v>
      </c>
      <c r="I12" s="6" t="s">
        <v>18</v>
      </c>
      <c r="J12" s="6" t="s">
        <v>35</v>
      </c>
      <c r="K12" s="5" t="s">
        <v>46</v>
      </c>
    </row>
    <row r="13" customFormat="false" ht="23.25" hidden="false" customHeight="true" outlineLevel="0" collapsed="false">
      <c r="A13" s="8" t="s">
        <v>68</v>
      </c>
      <c r="B13" s="9" t="s">
        <v>42</v>
      </c>
      <c r="C13" s="5" t="s">
        <v>69</v>
      </c>
      <c r="D13" s="6" t="s">
        <v>14</v>
      </c>
      <c r="E13" s="5" t="s">
        <v>70</v>
      </c>
      <c r="F13" s="5" t="s">
        <v>71</v>
      </c>
      <c r="G13" s="10" t="s">
        <v>51</v>
      </c>
      <c r="H13" s="6" t="n">
        <v>4</v>
      </c>
      <c r="I13" s="6" t="s">
        <v>30</v>
      </c>
      <c r="J13" s="6" t="s">
        <v>35</v>
      </c>
      <c r="K13" s="5" t="s">
        <v>46</v>
      </c>
    </row>
    <row r="14" customFormat="false" ht="23.25" hidden="false" customHeight="true" outlineLevel="0" collapsed="false">
      <c r="A14" s="11" t="s">
        <v>72</v>
      </c>
      <c r="B14" s="12" t="s">
        <v>73</v>
      </c>
      <c r="C14" s="5" t="s">
        <v>74</v>
      </c>
      <c r="D14" s="6" t="s">
        <v>14</v>
      </c>
      <c r="E14" s="5" t="s">
        <v>75</v>
      </c>
      <c r="F14" s="5" t="s">
        <v>76</v>
      </c>
      <c r="G14" s="10" t="s">
        <v>51</v>
      </c>
      <c r="H14" s="6" t="n">
        <v>2</v>
      </c>
      <c r="I14" s="6" t="s">
        <v>18</v>
      </c>
      <c r="J14" s="6" t="s">
        <v>35</v>
      </c>
      <c r="K14" s="5" t="s">
        <v>77</v>
      </c>
    </row>
    <row r="15" customFormat="false" ht="15" hidden="false" customHeight="true" outlineLevel="0" collapsed="false">
      <c r="A15" s="11" t="s">
        <v>78</v>
      </c>
      <c r="B15" s="12" t="s">
        <v>73</v>
      </c>
      <c r="C15" s="5" t="s">
        <v>79</v>
      </c>
      <c r="D15" s="6" t="s">
        <v>14</v>
      </c>
      <c r="E15" s="5" t="s">
        <v>80</v>
      </c>
      <c r="F15" s="5" t="s">
        <v>81</v>
      </c>
      <c r="G15" s="10" t="s">
        <v>51</v>
      </c>
      <c r="H15" s="6" t="n">
        <v>2</v>
      </c>
      <c r="I15" s="6" t="s">
        <v>30</v>
      </c>
      <c r="J15" s="6" t="s">
        <v>35</v>
      </c>
      <c r="K15" s="5" t="s">
        <v>77</v>
      </c>
    </row>
    <row r="16" customFormat="false" ht="23.25" hidden="false" customHeight="true" outlineLevel="0" collapsed="false">
      <c r="A16" s="11" t="s">
        <v>82</v>
      </c>
      <c r="B16" s="12" t="s">
        <v>73</v>
      </c>
      <c r="C16" s="5" t="s">
        <v>77</v>
      </c>
      <c r="D16" s="6" t="s">
        <v>14</v>
      </c>
      <c r="E16" s="5" t="s">
        <v>83</v>
      </c>
      <c r="F16" s="5" t="s">
        <v>84</v>
      </c>
      <c r="G16" s="10" t="s">
        <v>51</v>
      </c>
      <c r="H16" s="6" t="n">
        <v>2</v>
      </c>
      <c r="I16" s="6" t="s">
        <v>18</v>
      </c>
      <c r="J16" s="6" t="s">
        <v>35</v>
      </c>
      <c r="K16" s="5" t="s">
        <v>77</v>
      </c>
    </row>
    <row r="17" customFormat="false" ht="23.25" hidden="false" customHeight="true" outlineLevel="0" collapsed="false">
      <c r="A17" s="11" t="s">
        <v>85</v>
      </c>
      <c r="B17" s="12" t="s">
        <v>73</v>
      </c>
      <c r="C17" s="5" t="s">
        <v>86</v>
      </c>
      <c r="D17" s="6" t="s">
        <v>14</v>
      </c>
      <c r="E17" s="5" t="s">
        <v>87</v>
      </c>
      <c r="F17" s="5" t="s">
        <v>88</v>
      </c>
      <c r="G17" s="10" t="s">
        <v>51</v>
      </c>
      <c r="H17" s="6" t="n">
        <v>2</v>
      </c>
      <c r="I17" s="6" t="s">
        <v>18</v>
      </c>
      <c r="J17" s="6" t="s">
        <v>35</v>
      </c>
      <c r="K17" s="5" t="s">
        <v>77</v>
      </c>
    </row>
    <row r="18" customFormat="false" ht="23.25" hidden="false" customHeight="true" outlineLevel="0" collapsed="false">
      <c r="A18" s="11" t="s">
        <v>89</v>
      </c>
      <c r="B18" s="12" t="s">
        <v>73</v>
      </c>
      <c r="C18" s="5" t="s">
        <v>90</v>
      </c>
      <c r="D18" s="6" t="s">
        <v>14</v>
      </c>
      <c r="E18" s="5" t="s">
        <v>91</v>
      </c>
      <c r="F18" s="5" t="s">
        <v>92</v>
      </c>
      <c r="G18" s="10" t="s">
        <v>51</v>
      </c>
      <c r="H18" s="6" t="n">
        <v>2</v>
      </c>
      <c r="I18" s="6" t="s">
        <v>30</v>
      </c>
      <c r="J18" s="6" t="s">
        <v>35</v>
      </c>
      <c r="K18" s="5" t="s">
        <v>77</v>
      </c>
    </row>
    <row r="19" customFormat="false" ht="23.25" hidden="false" customHeight="true" outlineLevel="0" collapsed="false">
      <c r="A19" s="11" t="s">
        <v>93</v>
      </c>
      <c r="B19" s="12" t="s">
        <v>73</v>
      </c>
      <c r="C19" s="5" t="s">
        <v>94</v>
      </c>
      <c r="D19" s="6" t="s">
        <v>95</v>
      </c>
      <c r="E19" s="5" t="s">
        <v>96</v>
      </c>
      <c r="F19" s="5" t="s">
        <v>97</v>
      </c>
      <c r="G19" s="13" t="s">
        <v>98</v>
      </c>
      <c r="H19" s="6" t="n">
        <v>4</v>
      </c>
      <c r="I19" s="6" t="s">
        <v>18</v>
      </c>
      <c r="J19" s="6" t="s">
        <v>99</v>
      </c>
      <c r="K19" s="5" t="s">
        <v>77</v>
      </c>
    </row>
    <row r="20" customFormat="false" ht="23.25" hidden="false" customHeight="true" outlineLevel="0" collapsed="false">
      <c r="A20" s="14" t="s">
        <v>100</v>
      </c>
      <c r="B20" s="15" t="s">
        <v>101</v>
      </c>
      <c r="C20" s="5" t="s">
        <v>102</v>
      </c>
      <c r="D20" s="6" t="s">
        <v>14</v>
      </c>
      <c r="E20" s="5" t="s">
        <v>103</v>
      </c>
      <c r="F20" s="5" t="s">
        <v>104</v>
      </c>
      <c r="G20" s="10" t="s">
        <v>51</v>
      </c>
      <c r="H20" s="6" t="n">
        <v>3</v>
      </c>
      <c r="I20" s="6" t="s">
        <v>18</v>
      </c>
      <c r="J20" s="6" t="s">
        <v>35</v>
      </c>
      <c r="K20" s="5" t="s">
        <v>105</v>
      </c>
    </row>
    <row r="21" customFormat="false" ht="23.25" hidden="false" customHeight="true" outlineLevel="0" collapsed="false">
      <c r="A21" s="14" t="s">
        <v>106</v>
      </c>
      <c r="B21" s="15" t="s">
        <v>101</v>
      </c>
      <c r="C21" s="5" t="s">
        <v>107</v>
      </c>
      <c r="D21" s="6" t="s">
        <v>14</v>
      </c>
      <c r="E21" s="5" t="s">
        <v>108</v>
      </c>
      <c r="F21" s="5" t="s">
        <v>109</v>
      </c>
      <c r="G21" s="10" t="s">
        <v>51</v>
      </c>
      <c r="H21" s="6" t="n">
        <v>3</v>
      </c>
      <c r="I21" s="6" t="s">
        <v>30</v>
      </c>
      <c r="J21" s="6" t="s">
        <v>35</v>
      </c>
      <c r="K21" s="5" t="s">
        <v>105</v>
      </c>
    </row>
    <row r="22" customFormat="false" ht="23.25" hidden="false" customHeight="true" outlineLevel="0" collapsed="false">
      <c r="A22" s="14" t="s">
        <v>110</v>
      </c>
      <c r="B22" s="15" t="s">
        <v>101</v>
      </c>
      <c r="C22" s="5" t="s">
        <v>111</v>
      </c>
      <c r="D22" s="6" t="s">
        <v>14</v>
      </c>
      <c r="E22" s="5" t="s">
        <v>112</v>
      </c>
      <c r="F22" s="5" t="s">
        <v>113</v>
      </c>
      <c r="G22" s="10" t="s">
        <v>51</v>
      </c>
      <c r="H22" s="6" t="n">
        <v>3</v>
      </c>
      <c r="I22" s="6" t="s">
        <v>114</v>
      </c>
      <c r="J22" s="6" t="s">
        <v>35</v>
      </c>
      <c r="K22" s="5" t="s">
        <v>105</v>
      </c>
    </row>
    <row r="23" customFormat="false" ht="23.25" hidden="false" customHeight="true" outlineLevel="0" collapsed="false">
      <c r="A23" s="14" t="s">
        <v>115</v>
      </c>
      <c r="B23" s="15" t="s">
        <v>101</v>
      </c>
      <c r="C23" s="5" t="s">
        <v>116</v>
      </c>
      <c r="D23" s="6" t="s">
        <v>95</v>
      </c>
      <c r="E23" s="5" t="s">
        <v>117</v>
      </c>
      <c r="F23" s="5" t="s">
        <v>118</v>
      </c>
      <c r="G23" s="13" t="s">
        <v>98</v>
      </c>
      <c r="H23" s="6" t="n">
        <v>4</v>
      </c>
      <c r="I23" s="6" t="s">
        <v>18</v>
      </c>
      <c r="J23" s="6" t="s">
        <v>99</v>
      </c>
      <c r="K23" s="5" t="s">
        <v>105</v>
      </c>
    </row>
    <row r="24" customFormat="false" ht="23.25" hidden="false" customHeight="true" outlineLevel="0" collapsed="false">
      <c r="A24" s="14" t="s">
        <v>119</v>
      </c>
      <c r="B24" s="15" t="s">
        <v>101</v>
      </c>
      <c r="C24" s="5" t="s">
        <v>120</v>
      </c>
      <c r="D24" s="6" t="s">
        <v>14</v>
      </c>
      <c r="E24" s="5" t="s">
        <v>121</v>
      </c>
      <c r="F24" s="5" t="s">
        <v>122</v>
      </c>
      <c r="G24" s="10" t="s">
        <v>51</v>
      </c>
      <c r="H24" s="6" t="n">
        <v>3</v>
      </c>
      <c r="I24" s="6" t="s">
        <v>114</v>
      </c>
      <c r="J24" s="6" t="s">
        <v>35</v>
      </c>
      <c r="K24" s="5" t="s">
        <v>105</v>
      </c>
    </row>
    <row r="25" customFormat="false" ht="23.25" hidden="false" customHeight="true" outlineLevel="0" collapsed="false">
      <c r="A25" s="14" t="s">
        <v>123</v>
      </c>
      <c r="B25" s="15" t="s">
        <v>101</v>
      </c>
      <c r="C25" s="5" t="s">
        <v>124</v>
      </c>
      <c r="D25" s="6" t="s">
        <v>14</v>
      </c>
      <c r="E25" s="5" t="s">
        <v>125</v>
      </c>
      <c r="F25" s="5" t="s">
        <v>126</v>
      </c>
      <c r="G25" s="10" t="s">
        <v>51</v>
      </c>
      <c r="H25" s="6" t="n">
        <v>3</v>
      </c>
      <c r="I25" s="6" t="s">
        <v>18</v>
      </c>
      <c r="J25" s="6" t="s">
        <v>35</v>
      </c>
      <c r="K25" s="5" t="s">
        <v>105</v>
      </c>
    </row>
    <row r="26" customFormat="false" ht="23.25" hidden="false" customHeight="true" outlineLevel="0" collapsed="false">
      <c r="A26" s="16" t="s">
        <v>127</v>
      </c>
      <c r="B26" s="17" t="s">
        <v>128</v>
      </c>
      <c r="C26" s="5" t="s">
        <v>129</v>
      </c>
      <c r="D26" s="6" t="s">
        <v>14</v>
      </c>
      <c r="E26" s="5" t="s">
        <v>130</v>
      </c>
      <c r="F26" s="5" t="s">
        <v>131</v>
      </c>
      <c r="G26" s="10" t="s">
        <v>51</v>
      </c>
      <c r="H26" s="6" t="n">
        <v>3</v>
      </c>
      <c r="I26" s="6" t="s">
        <v>18</v>
      </c>
      <c r="J26" s="6" t="s">
        <v>35</v>
      </c>
      <c r="K26" s="5" t="s">
        <v>20</v>
      </c>
    </row>
    <row r="27" customFormat="false" ht="23.25" hidden="false" customHeight="true" outlineLevel="0" collapsed="false">
      <c r="A27" s="16" t="s">
        <v>132</v>
      </c>
      <c r="B27" s="17" t="s">
        <v>128</v>
      </c>
      <c r="C27" s="5" t="s">
        <v>133</v>
      </c>
      <c r="D27" s="6" t="s">
        <v>14</v>
      </c>
      <c r="E27" s="5" t="s">
        <v>134</v>
      </c>
      <c r="F27" s="5" t="s">
        <v>135</v>
      </c>
      <c r="G27" s="13" t="s">
        <v>98</v>
      </c>
      <c r="H27" s="6" t="n">
        <v>4</v>
      </c>
      <c r="I27" s="6" t="s">
        <v>18</v>
      </c>
      <c r="J27" s="6" t="s">
        <v>35</v>
      </c>
      <c r="K27" s="5" t="s">
        <v>20</v>
      </c>
    </row>
    <row r="28" customFormat="false" ht="23.25" hidden="false" customHeight="true" outlineLevel="0" collapsed="false">
      <c r="A28" s="16" t="s">
        <v>136</v>
      </c>
      <c r="B28" s="17" t="s">
        <v>128</v>
      </c>
      <c r="C28" s="5" t="s">
        <v>137</v>
      </c>
      <c r="D28" s="6" t="s">
        <v>95</v>
      </c>
      <c r="E28" s="5" t="s">
        <v>138</v>
      </c>
      <c r="F28" s="5" t="s">
        <v>139</v>
      </c>
      <c r="G28" s="10" t="s">
        <v>51</v>
      </c>
      <c r="H28" s="6" t="n">
        <v>4</v>
      </c>
      <c r="I28" s="6" t="s">
        <v>18</v>
      </c>
      <c r="J28" s="6" t="s">
        <v>99</v>
      </c>
      <c r="K28" s="5" t="s">
        <v>20</v>
      </c>
    </row>
    <row r="29" customFormat="false" ht="15" hidden="false" customHeight="true" outlineLevel="0" collapsed="false">
      <c r="A29" s="16" t="s">
        <v>140</v>
      </c>
      <c r="B29" s="17" t="s">
        <v>128</v>
      </c>
      <c r="C29" s="5" t="s">
        <v>141</v>
      </c>
      <c r="D29" s="6" t="s">
        <v>95</v>
      </c>
      <c r="E29" s="5" t="s">
        <v>142</v>
      </c>
      <c r="F29" s="5" t="s">
        <v>143</v>
      </c>
      <c r="G29" s="13" t="s">
        <v>98</v>
      </c>
      <c r="H29" s="6" t="n">
        <v>4</v>
      </c>
      <c r="I29" s="6" t="s">
        <v>30</v>
      </c>
      <c r="J29" s="6" t="s">
        <v>99</v>
      </c>
      <c r="K29" s="5" t="s">
        <v>20</v>
      </c>
    </row>
    <row r="30" customFormat="false" ht="23.25" hidden="false" customHeight="true" outlineLevel="0" collapsed="false">
      <c r="A30" s="16" t="s">
        <v>144</v>
      </c>
      <c r="B30" s="17" t="s">
        <v>128</v>
      </c>
      <c r="C30" s="5" t="s">
        <v>145</v>
      </c>
      <c r="D30" s="6" t="s">
        <v>14</v>
      </c>
      <c r="E30" s="5" t="s">
        <v>146</v>
      </c>
      <c r="F30" s="5" t="s">
        <v>147</v>
      </c>
      <c r="G30" s="13" t="s">
        <v>98</v>
      </c>
      <c r="H30" s="6" t="n">
        <v>4</v>
      </c>
      <c r="I30" s="6" t="s">
        <v>18</v>
      </c>
      <c r="J30" s="6" t="s">
        <v>99</v>
      </c>
      <c r="K30" s="5" t="s">
        <v>20</v>
      </c>
    </row>
    <row r="31" customFormat="false" ht="15" hidden="false" customHeight="true" outlineLevel="0" collapsed="false">
      <c r="A31" s="16" t="s">
        <v>148</v>
      </c>
      <c r="B31" s="17" t="s">
        <v>128</v>
      </c>
      <c r="C31" s="5" t="s">
        <v>149</v>
      </c>
      <c r="D31" s="6" t="s">
        <v>14</v>
      </c>
      <c r="E31" s="5" t="s">
        <v>150</v>
      </c>
      <c r="F31" s="5" t="s">
        <v>151</v>
      </c>
      <c r="G31" s="13" t="s">
        <v>98</v>
      </c>
      <c r="H31" s="6" t="n">
        <v>4</v>
      </c>
      <c r="I31" s="6" t="s">
        <v>30</v>
      </c>
      <c r="J31" s="6" t="s">
        <v>99</v>
      </c>
      <c r="K31" s="5" t="s">
        <v>20</v>
      </c>
    </row>
    <row r="32" customFormat="false" ht="23.25" hidden="false" customHeight="true" outlineLevel="0" collapsed="false">
      <c r="A32" s="16" t="s">
        <v>152</v>
      </c>
      <c r="B32" s="17" t="s">
        <v>128</v>
      </c>
      <c r="C32" s="5" t="s">
        <v>153</v>
      </c>
      <c r="D32" s="6" t="s">
        <v>14</v>
      </c>
      <c r="E32" s="5" t="s">
        <v>154</v>
      </c>
      <c r="F32" s="5" t="s">
        <v>155</v>
      </c>
      <c r="G32" s="10" t="s">
        <v>51</v>
      </c>
      <c r="H32" s="6" t="n">
        <v>4</v>
      </c>
      <c r="I32" s="6" t="s">
        <v>18</v>
      </c>
      <c r="J32" s="6" t="s">
        <v>99</v>
      </c>
      <c r="K32" s="5" t="s">
        <v>20</v>
      </c>
    </row>
  </sheetData>
  <autoFilter ref="A1:K32"/>
  <dataValidations count="4">
    <dataValidation allowBlank="false" errorStyle="stop" operator="between" showDropDown="false" showErrorMessage="false" showInputMessage="false" sqref="J2:J32" type="list">
      <formula1>"Not started,In progress,Blocked,Done"</formula1>
      <formula2>0</formula2>
    </dataValidation>
    <dataValidation allowBlank="false" errorStyle="stop" operator="between" showDropDown="false" showErrorMessage="false" showInputMessage="false" sqref="G2:G32" type="list">
      <formula1>"Must,Should,Could"</formula1>
      <formula2>0</formula2>
    </dataValidation>
    <dataValidation allowBlank="false" errorStyle="stop" operator="between" showDropDown="false" showErrorMessage="false" showInputMessage="false" sqref="H2:H32" type="list">
      <formula1>"1,2,3,4"</formula1>
      <formula2>0</formula2>
    </dataValidation>
    <dataValidation allowBlank="false" errorStyle="stop" operator="between" showDropDown="false" showErrorMessage="false" showInputMessage="false" sqref="I2:I32" type="list">
      <formula1>"S,M,L"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3"/>
    <col collapsed="false" customWidth="true" hidden="false" outlineLevel="0" max="4" min="4" style="1" width="18"/>
    <col collapsed="false" customWidth="true" hidden="false" outlineLevel="0" max="5" min="5" style="1" width="10"/>
  </cols>
  <sheetData>
    <row r="1" customFormat="false" ht="15" hidden="false" customHeight="true" outlineLevel="0" collapsed="false">
      <c r="A1" s="18" t="s">
        <v>156</v>
      </c>
    </row>
    <row r="2" customFormat="false" ht="15" hidden="false" customHeight="true" outlineLevel="0" collapsed="false">
      <c r="A2" s="19" t="s">
        <v>157</v>
      </c>
      <c r="B2" s="1" t="n">
        <f aca="false">COUNTA(Backlog!$A$2:$A$32)</f>
        <v>31</v>
      </c>
    </row>
    <row r="4" customFormat="false" ht="15" hidden="false" customHeight="true" outlineLevel="0" collapsed="false">
      <c r="A4" s="18" t="s">
        <v>158</v>
      </c>
      <c r="D4" s="18" t="s">
        <v>159</v>
      </c>
    </row>
    <row r="5" customFormat="false" ht="15" hidden="false" customHeight="true" outlineLevel="0" collapsed="false">
      <c r="A5" s="20" t="s">
        <v>6</v>
      </c>
      <c r="B5" s="20" t="s">
        <v>160</v>
      </c>
      <c r="D5" s="20" t="s">
        <v>7</v>
      </c>
      <c r="E5" s="20" t="s">
        <v>160</v>
      </c>
    </row>
    <row r="6" customFormat="false" ht="15" hidden="false" customHeight="true" outlineLevel="0" collapsed="false">
      <c r="A6" s="21" t="s">
        <v>17</v>
      </c>
      <c r="B6" s="1" t="n">
        <f aca="false">COUNTIF(Backlog!$G$2:$G$32,"Must")</f>
        <v>10</v>
      </c>
      <c r="D6" s="21" t="s">
        <v>161</v>
      </c>
      <c r="E6" s="1" t="n">
        <f aca="false">COUNTIF(Backlog!$H$2:$H$32,1)</f>
        <v>10</v>
      </c>
    </row>
    <row r="7" customFormat="false" ht="15" hidden="false" customHeight="true" outlineLevel="0" collapsed="false">
      <c r="A7" s="21" t="s">
        <v>51</v>
      </c>
      <c r="B7" s="1" t="n">
        <f aca="false">COUNTIF(Backlog!$G$2:$G$32,"Should")</f>
        <v>15</v>
      </c>
      <c r="D7" s="21" t="s">
        <v>162</v>
      </c>
      <c r="E7" s="1" t="n">
        <f aca="false">COUNTIF(Backlog!$H$2:$H$32,2)</f>
        <v>5</v>
      </c>
    </row>
    <row r="8" customFormat="false" ht="15" hidden="false" customHeight="true" outlineLevel="0" collapsed="false">
      <c r="A8" s="21" t="s">
        <v>98</v>
      </c>
      <c r="B8" s="1" t="n">
        <f aca="false">COUNTIF(Backlog!$G$2:$G$32,"Could")</f>
        <v>6</v>
      </c>
      <c r="D8" s="21" t="s">
        <v>163</v>
      </c>
      <c r="E8" s="1" t="n">
        <f aca="false">COUNTIF(Backlog!$H$2:$H$32,3)</f>
        <v>6</v>
      </c>
    </row>
    <row r="9" customFormat="false" ht="15" hidden="false" customHeight="true" outlineLevel="0" collapsed="false">
      <c r="D9" s="21" t="s">
        <v>164</v>
      </c>
      <c r="E9" s="1" t="n">
        <f aca="false">COUNTIF(Backlog!$H$2:$H$32,4)</f>
        <v>10</v>
      </c>
    </row>
    <row r="11" customFormat="false" ht="15" hidden="false" customHeight="true" outlineLevel="0" collapsed="false">
      <c r="A11" s="18" t="s">
        <v>165</v>
      </c>
      <c r="D11" s="18" t="s">
        <v>166</v>
      </c>
    </row>
    <row r="12" customFormat="false" ht="15" hidden="false" customHeight="true" outlineLevel="0" collapsed="false">
      <c r="A12" s="20" t="s">
        <v>1</v>
      </c>
      <c r="B12" s="20" t="s">
        <v>160</v>
      </c>
      <c r="D12" s="20" t="s">
        <v>9</v>
      </c>
      <c r="E12" s="20" t="s">
        <v>160</v>
      </c>
    </row>
    <row r="13" customFormat="false" ht="15" hidden="false" customHeight="true" outlineLevel="0" collapsed="false">
      <c r="A13" s="21" t="s">
        <v>12</v>
      </c>
      <c r="B13" s="1" t="n">
        <f aca="false">COUNTIF(Backlog!$B$2:$B$32,"E0*")</f>
        <v>5</v>
      </c>
      <c r="D13" s="21" t="s">
        <v>99</v>
      </c>
      <c r="E13" s="1" t="n">
        <f aca="false">COUNTIF(Backlog!$J$2:$J$32,"Not started")</f>
        <v>7</v>
      </c>
    </row>
    <row r="14" customFormat="false" ht="15" hidden="false" customHeight="true" outlineLevel="0" collapsed="false">
      <c r="A14" s="21" t="s">
        <v>42</v>
      </c>
      <c r="B14" s="1" t="n">
        <f aca="false">COUNTIF(Backlog!$B$2:$B$32,"E1*")</f>
        <v>7</v>
      </c>
      <c r="D14" s="21" t="s">
        <v>35</v>
      </c>
      <c r="E14" s="1" t="n">
        <f aca="false">COUNTIF(Backlog!$J$2:$J$32,"In progress")</f>
        <v>20</v>
      </c>
    </row>
    <row r="15" customFormat="false" ht="15" hidden="false" customHeight="true" outlineLevel="0" collapsed="false">
      <c r="A15" s="21" t="s">
        <v>73</v>
      </c>
      <c r="B15" s="1" t="n">
        <f aca="false">COUNTIF(Backlog!$B$2:$B$32,"E2*")</f>
        <v>6</v>
      </c>
      <c r="D15" s="21" t="s">
        <v>167</v>
      </c>
      <c r="E15" s="1" t="n">
        <f aca="false">COUNTIF(Backlog!$J$2:$J$32,"Blocked")</f>
        <v>0</v>
      </c>
    </row>
    <row r="16" customFormat="false" ht="15" hidden="false" customHeight="true" outlineLevel="0" collapsed="false">
      <c r="A16" s="21" t="s">
        <v>101</v>
      </c>
      <c r="B16" s="1" t="n">
        <f aca="false">COUNTIF(Backlog!$B$2:$B$32,"E3*")</f>
        <v>6</v>
      </c>
      <c r="D16" s="21" t="s">
        <v>19</v>
      </c>
      <c r="E16" s="1" t="n">
        <f aca="false">COUNTIF(Backlog!$J$2:$J$32,"Done")</f>
        <v>4</v>
      </c>
    </row>
    <row r="17" customFormat="false" ht="15" hidden="false" customHeight="true" outlineLevel="0" collapsed="false">
      <c r="A17" s="21" t="s">
        <v>128</v>
      </c>
      <c r="B17" s="1" t="n">
        <f aca="false">COUNTIF(Backlog!$B$2:$B$32,"E4*")</f>
        <v>7</v>
      </c>
    </row>
    <row r="19" customFormat="false" ht="15" hidden="false" customHeight="true" outlineLevel="0" collapsed="false">
      <c r="A19" s="19" t="s">
        <v>168</v>
      </c>
      <c r="B19" s="22" t="n">
        <f aca="false">IFERROR(COUNTIF(Backlog!$J$2:$J$32,"Done")/COUNTA(Backlog!$A$2:$A$32),0)</f>
        <v>0.129032258064516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0"/>
  </cols>
  <sheetData>
    <row r="1" customFormat="false" ht="15" hidden="false" customHeight="true" outlineLevel="0" collapsed="false">
      <c r="A1" s="18" t="s">
        <v>169</v>
      </c>
    </row>
    <row r="2" customFormat="false" ht="15" hidden="false" customHeight="true" outlineLevel="0" collapsed="false">
      <c r="A2" s="23"/>
      <c r="B2" s="24"/>
    </row>
    <row r="3" customFormat="false" ht="15" hidden="false" customHeight="true" outlineLevel="0" collapsed="false">
      <c r="A3" s="19" t="s">
        <v>170</v>
      </c>
      <c r="B3" s="25" t="s">
        <v>171</v>
      </c>
    </row>
    <row r="4" customFormat="false" ht="15" hidden="false" customHeight="true" outlineLevel="0" collapsed="false">
      <c r="A4" s="23" t="s">
        <v>0</v>
      </c>
      <c r="B4" s="24" t="s">
        <v>172</v>
      </c>
    </row>
    <row r="5" customFormat="false" ht="15" hidden="false" customHeight="true" outlineLevel="0" collapsed="false">
      <c r="A5" s="23" t="s">
        <v>1</v>
      </c>
      <c r="B5" s="24" t="s">
        <v>173</v>
      </c>
    </row>
    <row r="6" customFormat="false" ht="15" hidden="false" customHeight="true" outlineLevel="0" collapsed="false">
      <c r="A6" s="23" t="s">
        <v>3</v>
      </c>
      <c r="B6" s="24" t="s">
        <v>174</v>
      </c>
    </row>
    <row r="7" customFormat="false" ht="15" hidden="false" customHeight="true" outlineLevel="0" collapsed="false">
      <c r="A7" s="23" t="s">
        <v>6</v>
      </c>
      <c r="B7" s="24" t="s">
        <v>175</v>
      </c>
    </row>
    <row r="8" customFormat="false" ht="15" hidden="false" customHeight="true" outlineLevel="0" collapsed="false">
      <c r="A8" s="23" t="s">
        <v>7</v>
      </c>
      <c r="B8" s="24" t="s">
        <v>176</v>
      </c>
    </row>
    <row r="9" customFormat="false" ht="15" hidden="false" customHeight="true" outlineLevel="0" collapsed="false">
      <c r="A9" s="23" t="s">
        <v>8</v>
      </c>
      <c r="B9" s="24" t="s">
        <v>177</v>
      </c>
    </row>
    <row r="10" customFormat="false" ht="15" hidden="false" customHeight="true" outlineLevel="0" collapsed="false">
      <c r="A10" s="23" t="s">
        <v>9</v>
      </c>
      <c r="B10" s="24" t="s">
        <v>178</v>
      </c>
    </row>
    <row r="11" customFormat="false" ht="15" hidden="false" customHeight="true" outlineLevel="0" collapsed="false">
      <c r="A11" s="23" t="s">
        <v>10</v>
      </c>
      <c r="B11" s="24" t="s">
        <v>179</v>
      </c>
    </row>
    <row r="12" customFormat="false" ht="15" hidden="false" customHeight="true" outlineLevel="0" collapsed="false">
      <c r="A12" s="23"/>
      <c r="B12" s="24"/>
    </row>
    <row r="13" customFormat="false" ht="15" hidden="false" customHeight="true" outlineLevel="0" collapsed="false">
      <c r="A13" s="26" t="s">
        <v>180</v>
      </c>
      <c r="B13" s="24" t="s">
        <v>181</v>
      </c>
    </row>
    <row r="14" customFormat="false" ht="15" hidden="false" customHeight="true" outlineLevel="0" collapsed="false">
      <c r="A14" s="26" t="s">
        <v>180</v>
      </c>
      <c r="B14" s="24" t="s">
        <v>182</v>
      </c>
    </row>
    <row r="15" customFormat="false" ht="15" hidden="false" customHeight="true" outlineLevel="0" collapsed="false">
      <c r="A15" s="26" t="s">
        <v>183</v>
      </c>
      <c r="B15" s="24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2026-07-20T13:48:37Z</dcterms:created>
  <dc:creator>openpyxl</dc:creator>
  <dc:description/>
  <dc:language>en-US</dc:language>
  <cp:lastModifiedBy/>
  <dcterms:modified xsi:type="dcterms:W3CDTF">2026-08-03T14:32:13Z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