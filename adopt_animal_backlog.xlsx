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'Backlog'!$A$1:$K$32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1F3B57"/>
      <sz val="12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sz val="10"/>
    </font>
  </fonts>
  <fills count="11">
    <fill>
      <patternFill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EAF1F7"/>
        <bgColor rgb="FFF2F2F2"/>
      </patternFill>
    </fill>
    <fill>
      <patternFill patternType="solid">
        <fgColor rgb="FFF8CBAD"/>
        <bgColor rgb="FFFFE699"/>
      </patternFill>
    </fill>
    <fill>
      <patternFill patternType="solid">
        <fgColor rgb="FFE7F0E7"/>
        <bgColor rgb="FFEAF1F7"/>
      </patternFill>
    </fill>
    <fill>
      <patternFill patternType="solid">
        <fgColor rgb="FFFFE699"/>
        <bgColor rgb="FFF8CBAD"/>
      </patternFill>
    </fill>
    <fill>
      <patternFill patternType="solid">
        <fgColor rgb="FFFDF2E3"/>
        <bgColor rgb="FFF2F2F2"/>
      </patternFill>
    </fill>
    <fill>
      <patternFill patternType="solid">
        <fgColor rgb="FFD9D9D9"/>
        <bgColor rgb="FFD0D0D0"/>
      </patternFill>
    </fill>
    <fill>
      <patternFill patternType="solid">
        <fgColor rgb="FFEDE7F3"/>
        <bgColor rgb="FFEAF1F7"/>
      </patternFill>
    </fill>
    <fill>
      <patternFill patternType="solid">
        <fgColor rgb="FFF2F2F2"/>
        <bgColor rgb="FFEAF1F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F3B57"/>
          <bgColor rgb="FF000000"/>
        </patternFill>
      </fill>
    </dxf>
    <dxf>
      <fill>
        <patternFill patternType="solid">
          <fgColor rgb="FFE7F0E7"/>
          <bgColor rgb="FF000000"/>
        </patternFill>
      </fill>
    </dxf>
    <dxf>
      <fill>
        <patternFill patternType="solid">
          <fgColor rgb="FFEAF1F7"/>
          <bgColor rgb="FF000000"/>
        </patternFill>
      </fill>
    </dxf>
    <dxf>
      <fill>
        <patternFill patternType="solid">
          <fgColor rgb="FFEDE7F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DF2E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DF2E3"/>
      <rgbColor rgb="FFEAF1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0E7"/>
      <rgbColor rgb="FFF2F2F2"/>
      <rgbColor rgb="FFFFE699"/>
      <rgbColor rgb="FFEDE7F3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7" min="1" max="1"/>
    <col width="17" customWidth="1" style="27" min="2" max="2"/>
    <col width="26" customWidth="1" style="27" min="3" max="3"/>
    <col width="8" customWidth="1" style="27" min="4" max="4"/>
    <col width="52" customWidth="1" style="27" min="5" max="6"/>
    <col width="10" customWidth="1" style="27" min="7" max="7"/>
    <col width="7" customWidth="1" style="27" min="8" max="8"/>
    <col width="9" customWidth="1" style="27" min="9" max="9"/>
    <col width="13" customWidth="1" style="27" min="10" max="10"/>
    <col width="14" customWidth="1" style="27" min="11" max="11"/>
  </cols>
  <sheetData>
    <row r="1" ht="27.75" customHeight="1" s="28">
      <c r="A1" s="29" t="inlineStr">
        <is>
          <t>ID</t>
        </is>
      </c>
      <c r="B1" s="29" t="inlineStr">
        <is>
          <t>Epic</t>
        </is>
      </c>
      <c r="C1" s="29" t="inlineStr">
        <is>
          <t>Item / Title</t>
        </is>
      </c>
      <c r="D1" s="29" t="inlineStr">
        <is>
          <t>Type</t>
        </is>
      </c>
      <c r="E1" s="29" t="inlineStr">
        <is>
          <t>User Story</t>
        </is>
      </c>
      <c r="F1" s="29" t="inlineStr">
        <is>
          <t>Acceptance Criteria</t>
        </is>
      </c>
      <c r="G1" s="29" t="inlineStr">
        <is>
          <t>Priority</t>
        </is>
      </c>
      <c r="H1" s="29" t="inlineStr">
        <is>
          <t>Phase</t>
        </is>
      </c>
      <c r="I1" s="29" t="inlineStr">
        <is>
          <t>Estimate</t>
        </is>
      </c>
      <c r="J1" s="29" t="inlineStr">
        <is>
          <t>Status</t>
        </is>
      </c>
      <c r="K1" s="29" t="inlineStr">
        <is>
          <t>Maps To</t>
        </is>
      </c>
    </row>
    <row r="2" ht="23.25" customHeight="1" s="28">
      <c r="A2" s="30" t="inlineStr">
        <is>
          <t>E0-1</t>
        </is>
      </c>
      <c r="B2" s="31" t="inlineStr">
        <is>
          <t>E0 Foundations</t>
        </is>
      </c>
      <c r="C2" s="32" t="inlineStr">
        <is>
          <t>User roles &amp; extended profile</t>
        </is>
      </c>
      <c r="D2" s="33" t="inlineStr">
        <is>
          <t>Story</t>
        </is>
      </c>
      <c r="E2" s="32" t="inlineStr">
        <is>
          <t>As a user, I want the app to know whether I'm an adopter, owner, or vet, so it shows me the right features.</t>
        </is>
      </c>
      <c r="F2" s="32" t="inlineStr">
        <is>
          <t>users doc has role field (adopter|vet|admin) + phone/city/bio; role defaults to adopter on sign-up.</t>
        </is>
      </c>
      <c r="G2" s="34" t="inlineStr">
        <is>
          <t>Must</t>
        </is>
      </c>
      <c r="H2" s="33" t="n">
        <v>1</v>
      </c>
      <c r="I2" s="33" t="inlineStr">
        <is>
          <t>M</t>
        </is>
      </c>
      <c r="J2" s="33" t="inlineStr">
        <is>
          <t>Done</t>
        </is>
      </c>
      <c r="K2" s="32" t="inlineStr">
        <is>
          <t>Cross-cutting</t>
        </is>
      </c>
    </row>
    <row r="3" ht="23.25" customHeight="1" s="28">
      <c r="A3" s="30" t="inlineStr">
        <is>
          <t>E0-2</t>
        </is>
      </c>
      <c r="B3" s="31" t="inlineStr">
        <is>
          <t>E0 Foundations</t>
        </is>
      </c>
      <c r="C3" s="32" t="inlineStr">
        <is>
          <t>Firestore data model &amp; security rules</t>
        </is>
      </c>
      <c r="D3" s="33" t="inlineStr">
        <is>
          <t>Story</t>
        </is>
      </c>
      <c r="E3" s="32" t="inlineStr">
        <is>
          <t>As the team, we want a documented schema and locked-down rules so data is consistent and safe.</t>
        </is>
      </c>
      <c r="F3" s="32" t="inlineStr">
        <is>
          <t>Collections for animals, products, orders, vets, appointments, chats, favorites; rules deployed; indexes created.</t>
        </is>
      </c>
      <c r="G3" s="34" t="inlineStr">
        <is>
          <t>Must</t>
        </is>
      </c>
      <c r="H3" s="33" t="n">
        <v>1</v>
      </c>
      <c r="I3" s="33" t="inlineStr">
        <is>
          <t>M</t>
        </is>
      </c>
      <c r="J3" s="33" t="inlineStr">
        <is>
          <t>Done</t>
        </is>
      </c>
      <c r="K3" s="32" t="inlineStr">
        <is>
          <t>Backend</t>
        </is>
      </c>
    </row>
    <row r="4" ht="23.25" customHeight="1" s="28">
      <c r="A4" s="30" t="inlineStr">
        <is>
          <t>E0-3</t>
        </is>
      </c>
      <c r="B4" s="31" t="inlineStr">
        <is>
          <t>E0 Foundations</t>
        </is>
      </c>
      <c r="C4" s="32" t="inlineStr">
        <is>
          <t>Reusable UI &amp; error/loading states</t>
        </is>
      </c>
      <c r="D4" s="33" t="inlineStr">
        <is>
          <t>Story</t>
        </is>
      </c>
      <c r="E4" s="32" t="inlineStr">
        <is>
          <t>As a developer, I want shared widgets so screens look consistent and handle empty/error/loading.</t>
        </is>
      </c>
      <c r="F4" s="32" t="inlineStr">
        <is>
          <t>Shared AppScaffold, list skeletons, empty-state and error-retry widgets; extended theme colors.</t>
        </is>
      </c>
      <c r="G4" s="34" t="inlineStr">
        <is>
          <t>Must</t>
        </is>
      </c>
      <c r="H4" s="33" t="n">
        <v>1</v>
      </c>
      <c r="I4" s="33" t="inlineStr">
        <is>
          <t>S</t>
        </is>
      </c>
      <c r="J4" s="33" t="inlineStr">
        <is>
          <t>Done</t>
        </is>
      </c>
      <c r="K4" s="32" t="inlineStr">
        <is>
          <t>Cross-cutting</t>
        </is>
      </c>
    </row>
    <row r="5" ht="23.25" customHeight="1" s="28">
      <c r="A5" s="30" t="inlineStr">
        <is>
          <t>E0-4</t>
        </is>
      </c>
      <c r="B5" s="31" t="inlineStr">
        <is>
          <t>E0 Foundations</t>
        </is>
      </c>
      <c r="C5" s="32" t="inlineStr">
        <is>
          <t>Image upload service</t>
        </is>
      </c>
      <c r="D5" s="33" t="inlineStr">
        <is>
          <t>Story</t>
        </is>
      </c>
      <c r="E5" s="32" t="inlineStr">
        <is>
          <t>As a user, I want to attach photos (animals, chat) stored in Firebase Storage.</t>
        </is>
      </c>
      <c r="F5" s="32" t="inlineStr">
        <is>
          <t>StorageService wraps image_picker + firebase_storage, returns URL; compression, progress, failure handled.</t>
        </is>
      </c>
      <c r="G5" s="34" t="inlineStr">
        <is>
          <t>Must</t>
        </is>
      </c>
      <c r="H5" s="33" t="n">
        <v>1</v>
      </c>
      <c r="I5" s="33" t="inlineStr">
        <is>
          <t>S</t>
        </is>
      </c>
      <c r="J5" s="33" t="inlineStr">
        <is>
          <t>Blocked</t>
        </is>
      </c>
      <c r="K5" s="32" t="inlineStr">
        <is>
          <t>Cross-cutting</t>
        </is>
      </c>
    </row>
    <row r="6" ht="23.25" customHeight="1" s="28">
      <c r="A6" s="30" t="inlineStr">
        <is>
          <t>E0-5</t>
        </is>
      </c>
      <c r="B6" s="31" t="inlineStr">
        <is>
          <t>E0 Foundations</t>
        </is>
      </c>
      <c r="C6" s="32" t="inlineStr">
        <is>
          <t>Fix hardcoded Home greeting</t>
        </is>
      </c>
      <c r="D6" s="33" t="inlineStr">
        <is>
          <t>Story</t>
        </is>
      </c>
      <c r="E6" s="32" t="inlineStr">
        <is>
          <t>As a logged-in user, I want Home to greet me by my real name, not the hardcoded 'Hiba'.</t>
        </is>
      </c>
      <c r="F6" s="32" t="inlineStr">
        <is>
          <t>Home reads current user's name from Firestore via a use case.</t>
        </is>
      </c>
      <c r="G6" s="34" t="inlineStr">
        <is>
          <t>Must</t>
        </is>
      </c>
      <c r="H6" s="33" t="n">
        <v>1</v>
      </c>
      <c r="I6" s="33" t="inlineStr">
        <is>
          <t>S</t>
        </is>
      </c>
      <c r="J6" s="33" t="inlineStr">
        <is>
          <t>Done</t>
        </is>
      </c>
      <c r="K6" s="32" t="inlineStr">
        <is>
          <t>Home</t>
        </is>
      </c>
    </row>
    <row r="7" ht="23.25" customHeight="1" s="28">
      <c r="A7" s="35" t="inlineStr">
        <is>
          <t>E1-1</t>
        </is>
      </c>
      <c r="B7" s="36" t="inlineStr">
        <is>
          <t>E1 Adoption</t>
        </is>
      </c>
      <c r="C7" s="32" t="inlineStr">
        <is>
          <t>Browse adoptable animals</t>
        </is>
      </c>
      <c r="D7" s="33" t="inlineStr">
        <is>
          <t>Story</t>
        </is>
      </c>
      <c r="E7" s="32" t="inlineStr">
        <is>
          <t>As an adopter, I want to browse a feed of animals available for adoption so I can find one.</t>
        </is>
      </c>
      <c r="F7" s="32" t="inlineStr">
        <is>
          <t>Grid/list of animal cards; pull-to-refresh; pagination; empty state; status==available.</t>
        </is>
      </c>
      <c r="G7" s="34" t="inlineStr">
        <is>
          <t>Must</t>
        </is>
      </c>
      <c r="H7" s="33" t="n">
        <v>1</v>
      </c>
      <c r="I7" s="33" t="inlineStr">
        <is>
          <t>M</t>
        </is>
      </c>
      <c r="J7" s="33" t="inlineStr">
        <is>
          <t>Done</t>
        </is>
      </c>
      <c r="K7" s="32" t="inlineStr">
        <is>
          <t>Home/Adopt</t>
        </is>
      </c>
    </row>
    <row r="8" ht="23.25" customHeight="1" s="28">
      <c r="A8" s="35" t="inlineStr">
        <is>
          <t>E1-2</t>
        </is>
      </c>
      <c r="B8" s="36" t="inlineStr">
        <is>
          <t>E1 Adoption</t>
        </is>
      </c>
      <c r="C8" s="32" t="inlineStr">
        <is>
          <t>Filter &amp; search animals</t>
        </is>
      </c>
      <c r="D8" s="33" t="inlineStr">
        <is>
          <t>Story</t>
        </is>
      </c>
      <c r="E8" s="32" t="inlineStr">
        <is>
          <t>As an adopter, I want to filter by species, breed, age, size and city so I see relevant matches.</t>
        </is>
      </c>
      <c r="F8" s="32" t="inlineStr">
        <is>
          <t>Filter chips + search field; results update live; no-results state; Firestore indexes.</t>
        </is>
      </c>
      <c r="G8" s="37" t="inlineStr">
        <is>
          <t>Should</t>
        </is>
      </c>
      <c r="H8" s="33" t="n">
        <v>4</v>
      </c>
      <c r="I8" s="33" t="inlineStr">
        <is>
          <t>M</t>
        </is>
      </c>
      <c r="J8" s="33" t="inlineStr">
        <is>
          <t>Done</t>
        </is>
      </c>
      <c r="K8" s="32" t="inlineStr">
        <is>
          <t>Home/Adopt</t>
        </is>
      </c>
    </row>
    <row r="9" ht="23.25" customHeight="1" s="28">
      <c r="A9" s="35" t="inlineStr">
        <is>
          <t>E1-3</t>
        </is>
      </c>
      <c r="B9" s="36" t="inlineStr">
        <is>
          <t>E1 Adoption</t>
        </is>
      </c>
      <c r="C9" s="32" t="inlineStr">
        <is>
          <t>Animal detail screen</t>
        </is>
      </c>
      <c r="D9" s="33" t="inlineStr">
        <is>
          <t>Story</t>
        </is>
      </c>
      <c r="E9" s="32" t="inlineStr">
        <is>
          <t>As an adopter, I want a detailed page with photos and full info so I can decide.</t>
        </is>
      </c>
      <c r="F9" s="32" t="inlineStr">
        <is>
          <t>Image carousel, description, health/vaccination notes, owner info, Request-adoption CTA, favorite toggle.</t>
        </is>
      </c>
      <c r="G9" s="34" t="inlineStr">
        <is>
          <t>Must</t>
        </is>
      </c>
      <c r="H9" s="33" t="n">
        <v>1</v>
      </c>
      <c r="I9" s="33" t="inlineStr">
        <is>
          <t>S</t>
        </is>
      </c>
      <c r="J9" s="33" t="inlineStr">
        <is>
          <t>Done</t>
        </is>
      </c>
      <c r="K9" s="32" t="inlineStr">
        <is>
          <t>Home/Adopt</t>
        </is>
      </c>
    </row>
    <row r="10" ht="23.25" customHeight="1" s="28">
      <c r="A10" s="35" t="inlineStr">
        <is>
          <t>E1-4</t>
        </is>
      </c>
      <c r="B10" s="36" t="inlineStr">
        <is>
          <t>E1 Adoption</t>
        </is>
      </c>
      <c r="C10" s="32" t="inlineStr">
        <is>
          <t>Request to adopt</t>
        </is>
      </c>
      <c r="D10" s="33" t="inlineStr">
        <is>
          <t>Story</t>
        </is>
      </c>
      <c r="E10" s="32" t="inlineStr">
        <is>
          <t>As an adopter, I want to send an adoption request to the animal's owner so we can proceed.</t>
        </is>
      </c>
      <c r="F10" s="32" t="inlineStr">
        <is>
          <t>Creates adoption_requests doc (pending); owner notified; duplicate requests prevented.</t>
        </is>
      </c>
      <c r="G10" s="34" t="inlineStr">
        <is>
          <t>Must</t>
        </is>
      </c>
      <c r="H10" s="33" t="n">
        <v>1</v>
      </c>
      <c r="I10" s="33" t="inlineStr">
        <is>
          <t>M</t>
        </is>
      </c>
      <c r="J10" s="33" t="inlineStr">
        <is>
          <t>Done</t>
        </is>
      </c>
      <c r="K10" s="32" t="inlineStr">
        <is>
          <t>Home/Adopt</t>
        </is>
      </c>
    </row>
    <row r="11" ht="23.25" customHeight="1" s="28">
      <c r="A11" s="35" t="inlineStr">
        <is>
          <t>E1-5</t>
        </is>
      </c>
      <c r="B11" s="36" t="inlineStr">
        <is>
          <t>E1 Adoption</t>
        </is>
      </c>
      <c r="C11" s="32" t="inlineStr">
        <is>
          <t>List my animal for adoption</t>
        </is>
      </c>
      <c r="D11" s="33" t="inlineStr">
        <is>
          <t>Story</t>
        </is>
      </c>
      <c r="E11" s="32" t="inlineStr">
        <is>
          <t>As a pet owner, I want to post an animal I can no longer keep so others can adopt it.</t>
        </is>
      </c>
      <c r="F11" s="32" t="inlineStr">
        <is>
          <t>Multi-step form (photos, species, breed, age, gender, description, location) -&gt; animals status=available.</t>
        </is>
      </c>
      <c r="G11" s="34" t="inlineStr">
        <is>
          <t>Must</t>
        </is>
      </c>
      <c r="H11" s="33" t="n">
        <v>1</v>
      </c>
      <c r="I11" s="33" t="inlineStr">
        <is>
          <t>M</t>
        </is>
      </c>
      <c r="J11" s="33" t="inlineStr">
        <is>
          <t>Done</t>
        </is>
      </c>
      <c r="K11" s="32" t="inlineStr">
        <is>
          <t>Home/Adopt</t>
        </is>
      </c>
    </row>
    <row r="12" ht="23.25" customHeight="1" s="28">
      <c r="A12" s="35" t="inlineStr">
        <is>
          <t>E1-6</t>
        </is>
      </c>
      <c r="B12" s="36" t="inlineStr">
        <is>
          <t>E1 Adoption</t>
        </is>
      </c>
      <c r="C12" s="32" t="inlineStr">
        <is>
          <t>Manage my listings &amp; requests</t>
        </is>
      </c>
      <c r="D12" s="33" t="inlineStr">
        <is>
          <t>Story</t>
        </is>
      </c>
      <c r="E12" s="32" t="inlineStr">
        <is>
          <t>As a pet owner, I want to see my posted animals and incoming requests so I can accept/decline.</t>
        </is>
      </c>
      <c r="F12" s="32" t="inlineStr">
        <is>
          <t>My Listings + request counts; accept sets adopted &amp; notifies; decline updates; edit/delete listing.</t>
        </is>
      </c>
      <c r="G12" s="34" t="inlineStr">
        <is>
          <t>Must</t>
        </is>
      </c>
      <c r="H12" s="33" t="n">
        <v>1</v>
      </c>
      <c r="I12" s="33" t="inlineStr">
        <is>
          <t>M</t>
        </is>
      </c>
      <c r="J12" s="33" t="inlineStr">
        <is>
          <t>Done</t>
        </is>
      </c>
      <c r="K12" s="32" t="inlineStr">
        <is>
          <t>Home/Adopt</t>
        </is>
      </c>
    </row>
    <row r="13" ht="23.25" customHeight="1" s="28">
      <c r="A13" s="35" t="inlineStr">
        <is>
          <t>E1-7</t>
        </is>
      </c>
      <c r="B13" s="36" t="inlineStr">
        <is>
          <t>E1 Adoption</t>
        </is>
      </c>
      <c r="C13" s="32" t="inlineStr">
        <is>
          <t>Favorites / saved animals</t>
        </is>
      </c>
      <c r="D13" s="33" t="inlineStr">
        <is>
          <t>Story</t>
        </is>
      </c>
      <c r="E13" s="32" t="inlineStr">
        <is>
          <t>As an adopter, I want to save animals I like so I can revisit them.</t>
        </is>
      </c>
      <c r="F13" s="32" t="inlineStr">
        <is>
          <t>Heart toggle persists to users/{uid}/favorites; Saved screen lists them.</t>
        </is>
      </c>
      <c r="G13" s="37" t="inlineStr">
        <is>
          <t>Should</t>
        </is>
      </c>
      <c r="H13" s="33" t="n">
        <v>4</v>
      </c>
      <c r="I13" s="33" t="inlineStr">
        <is>
          <t>S</t>
        </is>
      </c>
      <c r="J13" s="33" t="inlineStr">
        <is>
          <t>Done</t>
        </is>
      </c>
      <c r="K13" s="32" t="inlineStr">
        <is>
          <t>Home/Adopt</t>
        </is>
      </c>
    </row>
    <row r="14" ht="23.25" customHeight="1" s="28">
      <c r="A14" s="38" t="inlineStr">
        <is>
          <t>E2-1</t>
        </is>
      </c>
      <c r="B14" s="39" t="inlineStr">
        <is>
          <t>E2 Shop</t>
        </is>
      </c>
      <c r="C14" s="32" t="inlineStr">
        <is>
          <t>Product catalog</t>
        </is>
      </c>
      <c r="D14" s="33" t="inlineStr">
        <is>
          <t>Story</t>
        </is>
      </c>
      <c r="E14" s="32" t="inlineStr">
        <is>
          <t>As a shopper, I want to browse products (food, toys, accessories, health) by category.</t>
        </is>
      </c>
      <c r="F14" s="32" t="inlineStr">
        <is>
          <t>Category tabs/grid; product cards (image, name, price, rating); search; pagination.</t>
        </is>
      </c>
      <c r="G14" s="37" t="inlineStr">
        <is>
          <t>Should</t>
        </is>
      </c>
      <c r="H14" s="33" t="n">
        <v>2</v>
      </c>
      <c r="I14" s="33" t="inlineStr">
        <is>
          <t>M</t>
        </is>
      </c>
      <c r="J14" s="33" t="inlineStr">
        <is>
          <t>Done</t>
        </is>
      </c>
      <c r="K14" s="32" t="inlineStr">
        <is>
          <t>Cart</t>
        </is>
      </c>
    </row>
    <row r="15" ht="15" customHeight="1" s="28">
      <c r="A15" s="38" t="inlineStr">
        <is>
          <t>E2-2</t>
        </is>
      </c>
      <c r="B15" s="39" t="inlineStr">
        <is>
          <t>E2 Shop</t>
        </is>
      </c>
      <c r="C15" s="32" t="inlineStr">
        <is>
          <t>Product detail</t>
        </is>
      </c>
      <c r="D15" s="33" t="inlineStr">
        <is>
          <t>Story</t>
        </is>
      </c>
      <c r="E15" s="32" t="inlineStr">
        <is>
          <t>As a shopper, I want full product info so I can decide to buy.</t>
        </is>
      </c>
      <c r="F15" s="32" t="inlineStr">
        <is>
          <t>Images, description, price, stock, quantity selector, Add-to-cart.</t>
        </is>
      </c>
      <c r="G15" s="37" t="inlineStr">
        <is>
          <t>Should</t>
        </is>
      </c>
      <c r="H15" s="33" t="n">
        <v>2</v>
      </c>
      <c r="I15" s="33" t="inlineStr">
        <is>
          <t>S</t>
        </is>
      </c>
      <c r="J15" s="33" t="inlineStr">
        <is>
          <t>Done</t>
        </is>
      </c>
      <c r="K15" s="32" t="inlineStr">
        <is>
          <t>Cart</t>
        </is>
      </c>
    </row>
    <row r="16" ht="23.25" customHeight="1" s="28">
      <c r="A16" s="38" t="inlineStr">
        <is>
          <t>E2-3</t>
        </is>
      </c>
      <c r="B16" s="39" t="inlineStr">
        <is>
          <t>E2 Shop</t>
        </is>
      </c>
      <c r="C16" s="32" t="inlineStr">
        <is>
          <t>Cart</t>
        </is>
      </c>
      <c r="D16" s="33" t="inlineStr">
        <is>
          <t>Story</t>
        </is>
      </c>
      <c r="E16" s="32" t="inlineStr">
        <is>
          <t>As a shopper, I want a cart so I can collect items and adjust quantities before checkout.</t>
        </is>
      </c>
      <c r="F16" s="32" t="inlineStr">
        <is>
          <t>Add/remove/update qty; live subtotal; persists per user; badge on Cart tab.</t>
        </is>
      </c>
      <c r="G16" s="37" t="inlineStr">
        <is>
          <t>Should</t>
        </is>
      </c>
      <c r="H16" s="33" t="n">
        <v>2</v>
      </c>
      <c r="I16" s="33" t="inlineStr">
        <is>
          <t>M</t>
        </is>
      </c>
      <c r="J16" s="33" t="inlineStr">
        <is>
          <t>Done</t>
        </is>
      </c>
      <c r="K16" s="32" t="inlineStr">
        <is>
          <t>Cart</t>
        </is>
      </c>
    </row>
    <row r="17" ht="23.25" customHeight="1" s="28">
      <c r="A17" s="38" t="inlineStr">
        <is>
          <t>E2-4</t>
        </is>
      </c>
      <c r="B17" s="39" t="inlineStr">
        <is>
          <t>E2 Shop</t>
        </is>
      </c>
      <c r="C17" s="32" t="inlineStr">
        <is>
          <t>Checkout &amp; orders</t>
        </is>
      </c>
      <c r="D17" s="33" t="inlineStr">
        <is>
          <t>Story</t>
        </is>
      </c>
      <c r="E17" s="32" t="inlineStr">
        <is>
          <t>As a shopper, I want to place an order with a delivery address so my supplies arrive.</t>
        </is>
      </c>
      <c r="F17" s="32" t="inlineStr">
        <is>
          <t>Address form; order summary; place-order -&gt; orders (pending); cart clears; confirmation screen.</t>
        </is>
      </c>
      <c r="G17" s="37" t="inlineStr">
        <is>
          <t>Should</t>
        </is>
      </c>
      <c r="H17" s="33" t="n">
        <v>2</v>
      </c>
      <c r="I17" s="33" t="inlineStr">
        <is>
          <t>M</t>
        </is>
      </c>
      <c r="J17" s="33" t="inlineStr">
        <is>
          <t>Done</t>
        </is>
      </c>
      <c r="K17" s="32" t="inlineStr">
        <is>
          <t>Cart</t>
        </is>
      </c>
    </row>
    <row r="18" ht="23.25" customHeight="1" s="28">
      <c r="A18" s="38" t="inlineStr">
        <is>
          <t>E2-5</t>
        </is>
      </c>
      <c r="B18" s="39" t="inlineStr">
        <is>
          <t>E2 Shop</t>
        </is>
      </c>
      <c r="C18" s="32" t="inlineStr">
        <is>
          <t>Order history &amp; tracking</t>
        </is>
      </c>
      <c r="D18" s="33" t="inlineStr">
        <is>
          <t>Story</t>
        </is>
      </c>
      <c r="E18" s="32" t="inlineStr">
        <is>
          <t>As a shopper, I want to see my past and current orders with status so I can track them.</t>
        </is>
      </c>
      <c r="F18" s="32" t="inlineStr">
        <is>
          <t>My Orders list with status (pending-&gt;shipped-&gt;delivered); order detail.</t>
        </is>
      </c>
      <c r="G18" s="37" t="inlineStr">
        <is>
          <t>Should</t>
        </is>
      </c>
      <c r="H18" s="33" t="n">
        <v>2</v>
      </c>
      <c r="I18" s="33" t="inlineStr">
        <is>
          <t>S</t>
        </is>
      </c>
      <c r="J18" s="33" t="inlineStr">
        <is>
          <t>Done</t>
        </is>
      </c>
      <c r="K18" s="32" t="inlineStr">
        <is>
          <t>Cart</t>
        </is>
      </c>
    </row>
    <row r="19" ht="23.25" customHeight="1" s="28">
      <c r="A19" s="38" t="inlineStr">
        <is>
          <t>E2-6</t>
        </is>
      </c>
      <c r="B19" s="39" t="inlineStr">
        <is>
          <t>E2 Shop</t>
        </is>
      </c>
      <c r="C19" s="32" t="inlineStr">
        <is>
          <t>Payment integration</t>
        </is>
      </c>
      <c r="D19" s="33" t="inlineStr">
        <is>
          <t>Spike</t>
        </is>
      </c>
      <c r="E19" s="32" t="inlineStr">
        <is>
          <t>As a shopper, I want to pay online for my supplies.</t>
        </is>
      </c>
      <c r="F19" s="32" t="inlineStr">
        <is>
          <t>Depends on payments spike (E4-3); MVP ships cash-on-delivery only.</t>
        </is>
      </c>
      <c r="G19" s="40" t="inlineStr">
        <is>
          <t>Could</t>
        </is>
      </c>
      <c r="H19" s="33" t="n">
        <v>4</v>
      </c>
      <c r="I19" s="33" t="inlineStr">
        <is>
          <t>M</t>
        </is>
      </c>
      <c r="J19" s="33" t="inlineStr">
        <is>
          <t>Blocked</t>
        </is>
      </c>
      <c r="K19" s="32" t="inlineStr">
        <is>
          <t>Cart</t>
        </is>
      </c>
    </row>
    <row r="20" ht="23.25" customHeight="1" s="28">
      <c r="A20" s="41" t="inlineStr">
        <is>
          <t>E3-1</t>
        </is>
      </c>
      <c r="B20" s="42" t="inlineStr">
        <is>
          <t>E3 Vet</t>
        </is>
      </c>
      <c r="C20" s="32" t="inlineStr">
        <is>
          <t>Vet directory</t>
        </is>
      </c>
      <c r="D20" s="33" t="inlineStr">
        <is>
          <t>Story</t>
        </is>
      </c>
      <c r="E20" s="32" t="inlineStr">
        <is>
          <t>As a pet owner, I want to browse available vets with specialties and ratings so I can pick one.</t>
        </is>
      </c>
      <c r="F20" s="32" t="inlineStr">
        <is>
          <t>List of vets (photo, name, specialty, clinic, city, rating); search/filter by specialty &amp; city.</t>
        </is>
      </c>
      <c r="G20" s="37" t="inlineStr">
        <is>
          <t>Should</t>
        </is>
      </c>
      <c r="H20" s="33" t="n">
        <v>3</v>
      </c>
      <c r="I20" s="33" t="inlineStr">
        <is>
          <t>M</t>
        </is>
      </c>
      <c r="J20" s="33" t="inlineStr">
        <is>
          <t>Done</t>
        </is>
      </c>
      <c r="K20" s="32" t="inlineStr">
        <is>
          <t>Chat</t>
        </is>
      </c>
    </row>
    <row r="21" ht="23.25" customHeight="1" s="28">
      <c r="A21" s="41" t="inlineStr">
        <is>
          <t>E3-2</t>
        </is>
      </c>
      <c r="B21" s="42" t="inlineStr">
        <is>
          <t>E3 Vet</t>
        </is>
      </c>
      <c r="C21" s="32" t="inlineStr">
        <is>
          <t>Vet profile</t>
        </is>
      </c>
      <c r="D21" s="33" t="inlineStr">
        <is>
          <t>Story</t>
        </is>
      </c>
      <c r="E21" s="32" t="inlineStr">
        <is>
          <t>As a pet owner, I want a vet's detail page so I can choose an action (chat/call/book).</t>
        </is>
      </c>
      <c r="F21" s="32" t="inlineStr">
        <is>
          <t>Bio, specialties, clinic address, hours, three CTAs (Chat, Call, Book appointment).</t>
        </is>
      </c>
      <c r="G21" s="37" t="inlineStr">
        <is>
          <t>Should</t>
        </is>
      </c>
      <c r="H21" s="33" t="n">
        <v>3</v>
      </c>
      <c r="I21" s="33" t="inlineStr">
        <is>
          <t>S</t>
        </is>
      </c>
      <c r="J21" s="33" t="inlineStr">
        <is>
          <t>Done</t>
        </is>
      </c>
      <c r="K21" s="32" t="inlineStr">
        <is>
          <t>Chat</t>
        </is>
      </c>
    </row>
    <row r="22" ht="23.25" customHeight="1" s="28">
      <c r="A22" s="41" t="inlineStr">
        <is>
          <t>E3-3</t>
        </is>
      </c>
      <c r="B22" s="42" t="inlineStr">
        <is>
          <t>E3 Vet</t>
        </is>
      </c>
      <c r="C22" s="32" t="inlineStr">
        <is>
          <t>1:1 chat with vet</t>
        </is>
      </c>
      <c r="D22" s="33" t="inlineStr">
        <is>
          <t>Story</t>
        </is>
      </c>
      <c r="E22" s="32" t="inlineStr">
        <is>
          <t>As a pet owner, I want to text a vet so I can ask about my animal.</t>
        </is>
      </c>
      <c r="F22" s="32" t="inlineStr">
        <is>
          <t>Real-time messages via chats/{id}/messages; text + image; read receipts; uses bubble; chat list.</t>
        </is>
      </c>
      <c r="G22" s="37" t="inlineStr">
        <is>
          <t>Should</t>
        </is>
      </c>
      <c r="H22" s="33" t="n">
        <v>3</v>
      </c>
      <c r="I22" s="33" t="inlineStr">
        <is>
          <t>L</t>
        </is>
      </c>
      <c r="J22" s="33" t="inlineStr">
        <is>
          <t>Done</t>
        </is>
      </c>
      <c r="K22" s="32" t="inlineStr">
        <is>
          <t>Chat</t>
        </is>
      </c>
    </row>
    <row r="23" ht="23.25" customHeight="1" s="28">
      <c r="A23" s="41" t="inlineStr">
        <is>
          <t>E3-4</t>
        </is>
      </c>
      <c r="B23" s="42" t="inlineStr">
        <is>
          <t>E3 Vet</t>
        </is>
      </c>
      <c r="C23" s="32" t="inlineStr">
        <is>
          <t>Voice / video call with vet</t>
        </is>
      </c>
      <c r="D23" s="33" t="inlineStr">
        <is>
          <t>Spike</t>
        </is>
      </c>
      <c r="E23" s="32" t="inlineStr">
        <is>
          <t>As a pet owner, I want to call a vet so I can talk directly.</t>
        </is>
      </c>
      <c r="F23" s="32" t="inlineStr">
        <is>
          <t>Phase 1: launch device dialer (tel:) via url_launcher. Phase 2: in-app calling (spike E4-4).</t>
        </is>
      </c>
      <c r="G23" s="40" t="inlineStr">
        <is>
          <t>Could</t>
        </is>
      </c>
      <c r="H23" s="33" t="n">
        <v>4</v>
      </c>
      <c r="I23" s="33" t="inlineStr">
        <is>
          <t>M</t>
        </is>
      </c>
      <c r="J23" s="33" t="inlineStr">
        <is>
          <t>Blocked</t>
        </is>
      </c>
      <c r="K23" s="32" t="inlineStr">
        <is>
          <t>Chat</t>
        </is>
      </c>
    </row>
    <row r="24" ht="23.25" customHeight="1" s="28">
      <c r="A24" s="41" t="inlineStr">
        <is>
          <t>E3-5</t>
        </is>
      </c>
      <c r="B24" s="42" t="inlineStr">
        <is>
          <t>E3 Vet</t>
        </is>
      </c>
      <c r="C24" s="32" t="inlineStr">
        <is>
          <t>Book an appointment</t>
        </is>
      </c>
      <c r="D24" s="33" t="inlineStr">
        <is>
          <t>Story</t>
        </is>
      </c>
      <c r="E24" s="32" t="inlineStr">
        <is>
          <t>As a pet owner, I want to book an appointment slot with a vet so I get dedicated time.</t>
        </is>
      </c>
      <c r="F24" s="32" t="inlineStr">
        <is>
          <t>Vet availability; pick date/time; appointments doc (requested); double-booking prevented; both notified.</t>
        </is>
      </c>
      <c r="G24" s="37" t="inlineStr">
        <is>
          <t>Should</t>
        </is>
      </c>
      <c r="H24" s="33" t="n">
        <v>3</v>
      </c>
      <c r="I24" s="33" t="inlineStr">
        <is>
          <t>L</t>
        </is>
      </c>
      <c r="J24" s="33" t="inlineStr">
        <is>
          <t>Done</t>
        </is>
      </c>
      <c r="K24" s="32" t="inlineStr">
        <is>
          <t>Chat</t>
        </is>
      </c>
    </row>
    <row r="25" ht="23.25" customHeight="1" s="28">
      <c r="A25" s="41" t="inlineStr">
        <is>
          <t>E3-6</t>
        </is>
      </c>
      <c r="B25" s="42" t="inlineStr">
        <is>
          <t>E3 Vet</t>
        </is>
      </c>
      <c r="C25" s="32" t="inlineStr">
        <is>
          <t>Manage appointments</t>
        </is>
      </c>
      <c r="D25" s="33" t="inlineStr">
        <is>
          <t>Story</t>
        </is>
      </c>
      <c r="E25" s="32" t="inlineStr">
        <is>
          <t>As a pet owner or vet, I want to see, confirm, reschedule or cancel appointments.</t>
        </is>
      </c>
      <c r="F25" s="32" t="inlineStr">
        <is>
          <t>My Appointments list; vet dashboard to confirm/decline/complete; status transitions; cancel frees slot.</t>
        </is>
      </c>
      <c r="G25" s="37" t="inlineStr">
        <is>
          <t>Should</t>
        </is>
      </c>
      <c r="H25" s="33" t="n">
        <v>3</v>
      </c>
      <c r="I25" s="33" t="inlineStr">
        <is>
          <t>M</t>
        </is>
      </c>
      <c r="J25" s="33" t="inlineStr">
        <is>
          <t>Done</t>
        </is>
      </c>
      <c r="K25" s="32" t="inlineStr">
        <is>
          <t>Chat</t>
        </is>
      </c>
    </row>
    <row r="26" ht="23.25" customHeight="1" s="28">
      <c r="A26" s="43" t="inlineStr">
        <is>
          <t>E4-1</t>
        </is>
      </c>
      <c r="B26" s="44" t="inlineStr">
        <is>
          <t>E4 Cross-cutting</t>
        </is>
      </c>
      <c r="C26" s="32" t="inlineStr">
        <is>
          <t>Push notifications</t>
        </is>
      </c>
      <c r="D26" s="33" t="inlineStr">
        <is>
          <t>Story</t>
        </is>
      </c>
      <c r="E26" s="32" t="inlineStr">
        <is>
          <t>As a user, I want to be notified of requests, orders, messages and appointment reminders.</t>
        </is>
      </c>
      <c r="F26" s="32" t="inlineStr">
        <is>
          <t>FCM; token storage; Cloud Function triggers for each event.</t>
        </is>
      </c>
      <c r="G26" s="37" t="inlineStr">
        <is>
          <t>Should</t>
        </is>
      </c>
      <c r="H26" s="33" t="n">
        <v>3</v>
      </c>
      <c r="I26" s="33" t="inlineStr">
        <is>
          <t>M</t>
        </is>
      </c>
      <c r="J26" s="33" t="inlineStr">
        <is>
          <t>Blocked</t>
        </is>
      </c>
      <c r="K26" s="32" t="inlineStr">
        <is>
          <t>Cross-cutting</t>
        </is>
      </c>
    </row>
    <row r="27" ht="23.25" customHeight="1" s="28">
      <c r="A27" s="43" t="inlineStr">
        <is>
          <t>E4-2</t>
        </is>
      </c>
      <c r="B27" s="44" t="inlineStr">
        <is>
          <t>E4 Cross-cutting</t>
        </is>
      </c>
      <c r="C27" s="32" t="inlineStr">
        <is>
          <t>Global search &amp; discovery</t>
        </is>
      </c>
      <c r="D27" s="33" t="inlineStr">
        <is>
          <t>Story</t>
        </is>
      </c>
      <c r="E27" s="32" t="inlineStr">
        <is>
          <t>As a user, I want unified search across animals, products and vets.</t>
        </is>
      </c>
      <c r="F27" s="32" t="inlineStr">
        <is>
          <t>Single search surface returning mixed results.</t>
        </is>
      </c>
      <c r="G27" s="40" t="inlineStr">
        <is>
          <t>Could</t>
        </is>
      </c>
      <c r="H27" s="33" t="n">
        <v>4</v>
      </c>
      <c r="I27" s="33" t="inlineStr">
        <is>
          <t>M</t>
        </is>
      </c>
      <c r="J27" s="33" t="inlineStr">
        <is>
          <t>Done</t>
        </is>
      </c>
      <c r="K27" s="32" t="inlineStr">
        <is>
          <t>Cross-cutting</t>
        </is>
      </c>
    </row>
    <row r="28" ht="23.25" customHeight="1" s="28">
      <c r="A28" s="43" t="inlineStr">
        <is>
          <t>E4-3</t>
        </is>
      </c>
      <c r="B28" s="44" t="inlineStr">
        <is>
          <t>E4 Cross-cutting</t>
        </is>
      </c>
      <c r="C28" s="32" t="inlineStr">
        <is>
          <t>Payments spike + integration</t>
        </is>
      </c>
      <c r="D28" s="33" t="inlineStr">
        <is>
          <t>Spike</t>
        </is>
      </c>
      <c r="E28" s="32" t="inlineStr">
        <is>
          <t>As the team, we need a payment approach for shop and paid appointments.</t>
        </is>
      </c>
      <c r="F28" s="32" t="inlineStr">
        <is>
          <t>Evaluate Stripe vs local gateways; deliver decision doc + integration story; MVP = cash-on-delivery.</t>
        </is>
      </c>
      <c r="G28" s="37" t="inlineStr">
        <is>
          <t>Should</t>
        </is>
      </c>
      <c r="H28" s="33" t="n">
        <v>4</v>
      </c>
      <c r="I28" s="33" t="inlineStr">
        <is>
          <t>M</t>
        </is>
      </c>
      <c r="J28" s="33" t="inlineStr">
        <is>
          <t>Done</t>
        </is>
      </c>
      <c r="K28" s="32" t="inlineStr">
        <is>
          <t>Cross-cutting</t>
        </is>
      </c>
    </row>
    <row r="29" ht="15" customHeight="1" s="28">
      <c r="A29" s="43" t="inlineStr">
        <is>
          <t>E4-4</t>
        </is>
      </c>
      <c r="B29" s="44" t="inlineStr">
        <is>
          <t>E4 Cross-cutting</t>
        </is>
      </c>
      <c r="C29" s="32" t="inlineStr">
        <is>
          <t>In-app calling spike</t>
        </is>
      </c>
      <c r="D29" s="33" t="inlineStr">
        <is>
          <t>Spike</t>
        </is>
      </c>
      <c r="E29" s="32" t="inlineStr">
        <is>
          <t>As the team, we need a calling approach for vet calls (Phase 2).</t>
        </is>
      </c>
      <c r="F29" s="32" t="inlineStr">
        <is>
          <t>Evaluate Agora / Twilio / WebRTC; deliver decision doc.</t>
        </is>
      </c>
      <c r="G29" s="40" t="inlineStr">
        <is>
          <t>Could</t>
        </is>
      </c>
      <c r="H29" s="33" t="n">
        <v>4</v>
      </c>
      <c r="I29" s="33" t="inlineStr">
        <is>
          <t>S</t>
        </is>
      </c>
      <c r="J29" s="33" t="inlineStr">
        <is>
          <t>Done</t>
        </is>
      </c>
      <c r="K29" s="32" t="inlineStr">
        <is>
          <t>Cross-cutting</t>
        </is>
      </c>
    </row>
    <row r="30" ht="23.25" customHeight="1" s="28">
      <c r="A30" s="43" t="inlineStr">
        <is>
          <t>E4-5</t>
        </is>
      </c>
      <c r="B30" s="44" t="inlineStr">
        <is>
          <t>E4 Cross-cutting</t>
        </is>
      </c>
      <c r="C30" s="32" t="inlineStr">
        <is>
          <t>Admin / moderation</t>
        </is>
      </c>
      <c r="D30" s="33" t="inlineStr">
        <is>
          <t>Story</t>
        </is>
      </c>
      <c r="E30" s="32" t="inlineStr">
        <is>
          <t>As an admin, I want to moderate content and approve vets so the marketplace stays safe.</t>
        </is>
      </c>
      <c r="F30" s="32" t="inlineStr">
        <is>
          <t>Report listings; approve vets; remove content.</t>
        </is>
      </c>
      <c r="G30" s="40" t="inlineStr">
        <is>
          <t>Could</t>
        </is>
      </c>
      <c r="H30" s="33" t="n">
        <v>4</v>
      </c>
      <c r="I30" s="33" t="inlineStr">
        <is>
          <t>M</t>
        </is>
      </c>
      <c r="J30" s="33" t="inlineStr">
        <is>
          <t>Done</t>
        </is>
      </c>
      <c r="K30" s="32" t="inlineStr">
        <is>
          <t>Cross-cutting</t>
        </is>
      </c>
    </row>
    <row r="31" ht="15" customHeight="1" s="28">
      <c r="A31" s="43" t="inlineStr">
        <is>
          <t>E4-6</t>
        </is>
      </c>
      <c r="B31" s="44" t="inlineStr">
        <is>
          <t>E4 Cross-cutting</t>
        </is>
      </c>
      <c r="C31" s="32" t="inlineStr">
        <is>
          <t>Analytics &amp; crash reporting</t>
        </is>
      </c>
      <c r="D31" s="33" t="inlineStr">
        <is>
          <t>Story</t>
        </is>
      </c>
      <c r="E31" s="32" t="inlineStr">
        <is>
          <t>As the team, we want usage analytics and crash reports.</t>
        </is>
      </c>
      <c r="F31" s="32" t="inlineStr">
        <is>
          <t>Firebase Analytics events + Crashlytics.</t>
        </is>
      </c>
      <c r="G31" s="40" t="inlineStr">
        <is>
          <t>Could</t>
        </is>
      </c>
      <c r="H31" s="33" t="n">
        <v>4</v>
      </c>
      <c r="I31" s="33" t="inlineStr">
        <is>
          <t>S</t>
        </is>
      </c>
      <c r="J31" s="33" t="inlineStr">
        <is>
          <t>In progress</t>
        </is>
      </c>
      <c r="K31" s="32" t="inlineStr">
        <is>
          <t>Cross-cutting</t>
        </is>
      </c>
    </row>
    <row r="32" ht="23.25" customHeight="1" s="28">
      <c r="A32" s="43" t="inlineStr">
        <is>
          <t>E4-7</t>
        </is>
      </c>
      <c r="B32" s="44" t="inlineStr">
        <is>
          <t>E4 Cross-cutting</t>
        </is>
      </c>
      <c r="C32" s="32" t="inlineStr">
        <is>
          <t>Automated tests</t>
        </is>
      </c>
      <c r="D32" s="33" t="inlineStr">
        <is>
          <t>Story</t>
        </is>
      </c>
      <c r="E32" s="32" t="inlineStr">
        <is>
          <t>As the team, we want tests so refactors are safe (test/ folder is currently empty).</t>
        </is>
      </c>
      <c r="F32" s="32" t="inlineStr">
        <is>
          <t>Unit tests for use cases/cubits; widget tests for key screens.</t>
        </is>
      </c>
      <c r="G32" s="37" t="inlineStr">
        <is>
          <t>Should</t>
        </is>
      </c>
      <c r="H32" s="33" t="n">
        <v>4</v>
      </c>
      <c r="I32" s="33" t="inlineStr">
        <is>
          <t>M</t>
        </is>
      </c>
      <c r="J32" s="33" t="inlineStr">
        <is>
          <t>Done</t>
        </is>
      </c>
      <c r="K32" s="32" t="inlineStr">
        <is>
          <t>Cross-cutting</t>
        </is>
      </c>
    </row>
  </sheetData>
  <autoFilter ref="A1:K32"/>
  <dataValidations count="4">
    <dataValidation sqref="J2:J32" showDropDown="0" showInputMessage="0" showErrorMessage="0" allowBlank="0" type="list" errorStyle="stop" operator="between">
      <formula1>"Not started,In progress,Blocked,Done"</formula1>
      <formula2>0</formula2>
    </dataValidation>
    <dataValidation sqref="G2:G32" showDropDown="0" showInputMessage="0" showErrorMessage="0" allowBlank="0" type="list" errorStyle="stop" operator="between">
      <formula1>"Must,Should,Could"</formula1>
      <formula2>0</formula2>
    </dataValidation>
    <dataValidation sqref="H2:H32" showDropDown="0" showInputMessage="0" showErrorMessage="0" allowBlank="0" type="list" errorStyle="stop" operator="between">
      <formula1>"1,2,3,4"</formula1>
      <formula2>0</formula2>
    </dataValidation>
    <dataValidation sqref="I2:I32" showDropDown="0" showInputMessage="0" showErrorMessage="0" allowBlank="0" type="list" errorStyle="stop" operator="between">
      <formula1>"S,M,L"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7" min="1" max="1"/>
    <col width="10" customWidth="1" style="27" min="2" max="2"/>
    <col width="3" customWidth="1" style="27" min="3" max="3"/>
    <col width="18" customWidth="1" style="27" min="4" max="4"/>
    <col width="10" customWidth="1" style="27" min="5" max="5"/>
  </cols>
  <sheetData>
    <row r="1" ht="15" customHeight="1" s="28">
      <c r="A1" s="45" t="inlineStr">
        <is>
          <t>Adopt Animal — Backlog Summary</t>
        </is>
      </c>
    </row>
    <row r="2" ht="15" customHeight="1" s="28">
      <c r="A2" s="46" t="inlineStr">
        <is>
          <t>Total items</t>
        </is>
      </c>
      <c r="B2" s="27">
        <f>COUNTA(Backlog!$A$2:$A$32)</f>
        <v/>
      </c>
    </row>
    <row r="4" ht="15" customHeight="1" s="28">
      <c r="A4" s="45" t="inlineStr">
        <is>
          <t>By Priority</t>
        </is>
      </c>
      <c r="D4" s="45" t="inlineStr">
        <is>
          <t>By Phase</t>
        </is>
      </c>
    </row>
    <row r="5" ht="15" customHeight="1" s="28">
      <c r="A5" s="47" t="inlineStr">
        <is>
          <t>Priority</t>
        </is>
      </c>
      <c r="B5" s="47" t="inlineStr">
        <is>
          <t>Count</t>
        </is>
      </c>
      <c r="D5" s="47" t="inlineStr">
        <is>
          <t>Phase</t>
        </is>
      </c>
      <c r="E5" s="47" t="inlineStr">
        <is>
          <t>Count</t>
        </is>
      </c>
    </row>
    <row r="6" ht="15" customHeight="1" s="28">
      <c r="A6" s="48" t="inlineStr">
        <is>
          <t>Must</t>
        </is>
      </c>
      <c r="B6" s="27">
        <f>COUNTIF(Backlog!$G$2:$G$32,"Must")</f>
        <v/>
      </c>
      <c r="D6" s="48" t="inlineStr">
        <is>
          <t>1 - MVP adoption</t>
        </is>
      </c>
      <c r="E6" s="27">
        <f>COUNTIF(Backlog!$H$2:$H$32,1)</f>
        <v/>
      </c>
    </row>
    <row r="7" ht="15" customHeight="1" s="28">
      <c r="A7" s="48" t="inlineStr">
        <is>
          <t>Should</t>
        </is>
      </c>
      <c r="B7" s="27">
        <f>COUNTIF(Backlog!$G$2:$G$32,"Should")</f>
        <v/>
      </c>
      <c r="D7" s="48" t="inlineStr">
        <is>
          <t>2 - Shop</t>
        </is>
      </c>
      <c r="E7" s="27">
        <f>COUNTIF(Backlog!$H$2:$H$32,2)</f>
        <v/>
      </c>
    </row>
    <row r="8" ht="15" customHeight="1" s="28">
      <c r="A8" s="48" t="inlineStr">
        <is>
          <t>Could</t>
        </is>
      </c>
      <c r="B8" s="27">
        <f>COUNTIF(Backlog!$G$2:$G$32,"Could")</f>
        <v/>
      </c>
      <c r="D8" s="48" t="inlineStr">
        <is>
          <t>3 - Vet care</t>
        </is>
      </c>
      <c r="E8" s="27">
        <f>COUNTIF(Backlog!$H$2:$H$32,3)</f>
        <v/>
      </c>
    </row>
    <row r="9" ht="15" customHeight="1" s="28">
      <c r="D9" s="48" t="inlineStr">
        <is>
          <t>4 - Polish/scale</t>
        </is>
      </c>
      <c r="E9" s="27">
        <f>COUNTIF(Backlog!$H$2:$H$32,4)</f>
        <v/>
      </c>
    </row>
    <row r="11" ht="15" customHeight="1" s="28">
      <c r="A11" s="45" t="inlineStr">
        <is>
          <t>By Epic</t>
        </is>
      </c>
      <c r="D11" s="45" t="inlineStr">
        <is>
          <t>By Status (live)</t>
        </is>
      </c>
    </row>
    <row r="12" ht="15" customHeight="1" s="28">
      <c r="A12" s="47" t="inlineStr">
        <is>
          <t>Epic</t>
        </is>
      </c>
      <c r="B12" s="47" t="inlineStr">
        <is>
          <t>Count</t>
        </is>
      </c>
      <c r="D12" s="47" t="inlineStr">
        <is>
          <t>Status</t>
        </is>
      </c>
      <c r="E12" s="47" t="inlineStr">
        <is>
          <t>Count</t>
        </is>
      </c>
    </row>
    <row r="13" ht="15" customHeight="1" s="28">
      <c r="A13" s="48" t="inlineStr">
        <is>
          <t>E0 Foundations</t>
        </is>
      </c>
      <c r="B13" s="27">
        <f>COUNTIF(Backlog!$B$2:$B$32,"E0*")</f>
        <v/>
      </c>
      <c r="D13" s="48" t="inlineStr">
        <is>
          <t>Not started</t>
        </is>
      </c>
      <c r="E13" s="27">
        <f>COUNTIF(Backlog!$J$2:$J$32,"Not started")</f>
        <v/>
      </c>
    </row>
    <row r="14" ht="15" customHeight="1" s="28">
      <c r="A14" s="48" t="inlineStr">
        <is>
          <t>E1 Adoption</t>
        </is>
      </c>
      <c r="B14" s="27">
        <f>COUNTIF(Backlog!$B$2:$B$32,"E1*")</f>
        <v/>
      </c>
      <c r="D14" s="48" t="inlineStr">
        <is>
          <t>In progress</t>
        </is>
      </c>
      <c r="E14" s="27">
        <f>COUNTIF(Backlog!$J$2:$J$32,"In progress")</f>
        <v/>
      </c>
    </row>
    <row r="15" ht="15" customHeight="1" s="28">
      <c r="A15" s="48" t="inlineStr">
        <is>
          <t>E2 Shop</t>
        </is>
      </c>
      <c r="B15" s="27">
        <f>COUNTIF(Backlog!$B$2:$B$32,"E2*")</f>
        <v/>
      </c>
      <c r="D15" s="48" t="inlineStr">
        <is>
          <t>Blocked</t>
        </is>
      </c>
      <c r="E15" s="27">
        <f>COUNTIF(Backlog!$J$2:$J$32,"Blocked")</f>
        <v/>
      </c>
    </row>
    <row r="16" ht="15" customHeight="1" s="28">
      <c r="A16" s="48" t="inlineStr">
        <is>
          <t>E3 Vet</t>
        </is>
      </c>
      <c r="B16" s="27">
        <f>COUNTIF(Backlog!$B$2:$B$32,"E3*")</f>
        <v/>
      </c>
      <c r="D16" s="48" t="inlineStr">
        <is>
          <t>Done</t>
        </is>
      </c>
      <c r="E16" s="27">
        <f>COUNTIF(Backlog!$J$2:$J$32,"Done")</f>
        <v/>
      </c>
    </row>
    <row r="17" ht="15" customHeight="1" s="28">
      <c r="A17" s="48" t="inlineStr">
        <is>
          <t>E4 Cross-cutting</t>
        </is>
      </c>
      <c r="B17" s="27">
        <f>COUNTIF(Backlog!$B$2:$B$32,"E4*")</f>
        <v/>
      </c>
    </row>
    <row r="19" ht="15" customHeight="1" s="28">
      <c r="A19" s="46" t="inlineStr">
        <is>
          <t>% Done</t>
        </is>
      </c>
      <c r="B19" s="49">
        <f>IFERROR(COUNTIF(Backlog!$J$2:$J$32,"Done")/COUNTA(Backlog!$A$2:$A$32),0)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7" min="1" max="1"/>
    <col width="80" customWidth="1" style="27" min="2" max="2"/>
  </cols>
  <sheetData>
    <row r="1" ht="15" customHeight="1" s="28">
      <c r="A1" s="45" t="inlineStr">
        <is>
          <t>How to use this backlog</t>
        </is>
      </c>
    </row>
    <row r="2" ht="15" customHeight="1" s="28">
      <c r="A2" s="50" t="n"/>
      <c r="B2" s="51" t="n"/>
    </row>
    <row r="3" ht="15" customHeight="1" s="28">
      <c r="A3" s="46" t="inlineStr">
        <is>
          <t>Column</t>
        </is>
      </c>
      <c r="B3" s="52" t="inlineStr">
        <is>
          <t>Meaning</t>
        </is>
      </c>
    </row>
    <row r="4" ht="15" customHeight="1" s="28">
      <c r="A4" s="50" t="inlineStr">
        <is>
          <t>ID</t>
        </is>
      </c>
      <c r="B4" s="51" t="inlineStr">
        <is>
          <t>Epic-story code (E&lt;epic&gt;-&lt;n&gt;). Matches BACKLOG.md.</t>
        </is>
      </c>
    </row>
    <row r="5" ht="15" customHeight="1" s="28">
      <c r="A5" s="50" t="inlineStr">
        <is>
          <t>Epic</t>
        </is>
      </c>
      <c r="B5" s="51" t="inlineStr">
        <is>
          <t>E0 Foundations, E1 Adoption, E2 Shop, E3 Vet, E4 Cross-cutting.</t>
        </is>
      </c>
    </row>
    <row r="6" ht="15" customHeight="1" s="28">
      <c r="A6" s="50" t="inlineStr">
        <is>
          <t>Type</t>
        </is>
      </c>
      <c r="B6" s="51" t="inlineStr">
        <is>
          <t>Story = buildable feature; Spike = research/decision task.</t>
        </is>
      </c>
    </row>
    <row r="7" ht="15" customHeight="1" s="28">
      <c r="A7" s="50" t="inlineStr">
        <is>
          <t>Priority</t>
        </is>
      </c>
      <c r="B7" s="51" t="inlineStr">
        <is>
          <t>Must / Should / Could (MoSCoW). Editable dropdown; Must=orange, Should=yellow, Could=grey.</t>
        </is>
      </c>
    </row>
    <row r="8" ht="15" customHeight="1" s="28">
      <c r="A8" s="50" t="inlineStr">
        <is>
          <t>Phase</t>
        </is>
      </c>
      <c r="B8" s="51" t="inlineStr">
        <is>
          <t>Suggested rollout: 1 MVP adoption, 2 Shop, 3 Vet care, 4 Polish/scale. Editable dropdown.</t>
        </is>
      </c>
    </row>
    <row r="9" ht="15" customHeight="1" s="28">
      <c r="A9" s="50" t="inlineStr">
        <is>
          <t>Estimate</t>
        </is>
      </c>
      <c r="B9" s="51" t="inlineStr">
        <is>
          <t>Rough size: S (&lt;1 day), M (1-3 days), L (3+ days). Editable dropdown.</t>
        </is>
      </c>
    </row>
    <row r="10" ht="15" customHeight="1" s="28">
      <c r="A10" s="50" t="inlineStr">
        <is>
          <t>Status</t>
        </is>
      </c>
      <c r="B10" s="51" t="inlineStr">
        <is>
          <t>Not started / In progress / Blocked / Done. Editable dropdown; drives the Summary counts.</t>
        </is>
      </c>
    </row>
    <row r="11" ht="15" customHeight="1" s="28">
      <c r="A11" s="50" t="inlineStr">
        <is>
          <t>Maps To</t>
        </is>
      </c>
      <c r="B11" s="51" t="inlineStr">
        <is>
          <t>Where it lives in the app (Home/Adopt, Cart, Chat, Cross-cutting, Backend).</t>
        </is>
      </c>
    </row>
    <row r="12" ht="15" customHeight="1" s="28">
      <c r="A12" s="50" t="n"/>
      <c r="B12" s="51" t="n"/>
    </row>
    <row r="13" ht="15" customHeight="1" s="28">
      <c r="A13" s="53" t="inlineStr">
        <is>
          <t>Tip</t>
        </is>
      </c>
      <c r="B13" s="51" t="inlineStr">
        <is>
          <t>Use the filter arrows on the Backlog header row to slice by Epic, Priority, Phase or Status.</t>
        </is>
      </c>
    </row>
    <row r="14" ht="15" customHeight="1" s="28">
      <c r="A14" s="53" t="inlineStr">
        <is>
          <t>Tip</t>
        </is>
      </c>
      <c r="B14" s="51" t="inlineStr">
        <is>
          <t>Update the Status column and the Summary tab recalculates automatically.</t>
        </is>
      </c>
    </row>
    <row r="15" ht="15" customHeight="1" s="28">
      <c r="A15" s="53" t="inlineStr">
        <is>
          <t>Note</t>
        </is>
      </c>
      <c r="B15" s="51" t="inlineStr">
        <is>
          <t>Estimates are rough placeholders — re-point with your team before committing to a sprint.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2026-07-20T13:48:37Z</dcterms:created>
  <dcterms:modified xmlns:dcterms="http://purl.org/dc/terms/" xmlns:xsi="http://www.w3.org/2001/XMLSchema-instance" xsi:type="dcterms:W3CDTF">2026-08-13T12:50:49Z</dcterms:modified>
  <cp:revision>0</cp:revision>
</cp:coreProperties>
</file>